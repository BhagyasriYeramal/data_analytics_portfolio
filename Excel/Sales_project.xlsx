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Bhagya Sri\Desktop\interview_project\"/>
    </mc:Choice>
  </mc:AlternateContent>
  <xr:revisionPtr revIDLastSave="0" documentId="13_ncr:1_{53350A21-5AB0-4084-A9C0-29DE10845EBF}" xr6:coauthVersionLast="47" xr6:coauthVersionMax="47" xr10:uidLastSave="{00000000-0000-0000-0000-000000000000}"/>
  <bookViews>
    <workbookView xWindow="-108" yWindow="-108" windowWidth="23256" windowHeight="12456" activeTab="4" xr2:uid="{29342FAD-CBFD-4636-8600-9DB6D7315D42}"/>
  </bookViews>
  <sheets>
    <sheet name="Customers" sheetId="2" r:id="rId1"/>
    <sheet name="Employees" sheetId="3" r:id="rId2"/>
    <sheet name="Orders_combined" sheetId="7" r:id="rId3"/>
    <sheet name="Pivot Tables" sheetId="11" r:id="rId4"/>
    <sheet name="Dashboard" sheetId="12" r:id="rId5"/>
    <sheet name="Date2" sheetId="9" r:id="rId6"/>
    <sheet name="Products" sheetId="6" r:id="rId7"/>
    <sheet name="Orders" sheetId="4" r:id="rId8"/>
    <sheet name="OrdersArchive" sheetId="5" r:id="rId9"/>
  </sheets>
  <definedNames>
    <definedName name="ExternalData_1" localSheetId="0" hidden="1">'Customers'!$A$1:$E$6</definedName>
    <definedName name="ExternalData_1" localSheetId="1" hidden="1">Employees!$A$1:$H$6</definedName>
    <definedName name="ExternalData_1" localSheetId="7" hidden="1">Orders!$A$1:$L$11</definedName>
    <definedName name="ExternalData_1" localSheetId="8" hidden="1">OrdersArchive!$A$1:$L$11</definedName>
    <definedName name="ExternalData_1" localSheetId="6" hidden="1">Products!$A$1:$D$6</definedName>
    <definedName name="ExternalData_2" localSheetId="2" hidden="1">Orders_combined!$A$1:$S$21</definedName>
    <definedName name="Slicer_OrderStatus">#N/A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7" l="1"/>
  <c r="U5" i="7"/>
  <c r="U7" i="7"/>
  <c r="U10" i="7"/>
  <c r="U12" i="7"/>
  <c r="U16" i="7"/>
  <c r="U18" i="7"/>
  <c r="U19" i="7"/>
  <c r="U20" i="7"/>
  <c r="U21" i="7"/>
  <c r="U2" i="7"/>
  <c r="U4" i="7"/>
  <c r="U6" i="7"/>
  <c r="U8" i="7"/>
  <c r="U9" i="7"/>
  <c r="U11" i="7"/>
  <c r="U13" i="7"/>
  <c r="U14" i="7"/>
  <c r="U15" i="7"/>
  <c r="U17" i="7"/>
  <c r="T3" i="7"/>
  <c r="T5" i="7"/>
  <c r="T7" i="7"/>
  <c r="T10" i="7"/>
  <c r="T12" i="7"/>
  <c r="T16" i="7"/>
  <c r="T18" i="7"/>
  <c r="T19" i="7"/>
  <c r="T20" i="7"/>
  <c r="T21" i="7"/>
  <c r="T2" i="7"/>
  <c r="T4" i="7"/>
  <c r="T6" i="7"/>
  <c r="T8" i="7"/>
  <c r="T9" i="7"/>
  <c r="T11" i="7"/>
  <c r="T13" i="7"/>
  <c r="T14" i="7"/>
  <c r="T15" i="7"/>
  <c r="T17" i="7"/>
  <c r="P2" i="9"/>
  <c r="P3" i="9"/>
  <c r="P4" i="9"/>
  <c r="P5" i="9"/>
  <c r="P6" i="9"/>
  <c r="P7" i="9"/>
  <c r="P8" i="9"/>
  <c r="P9" i="9"/>
  <c r="P10" i="9"/>
  <c r="P11" i="9"/>
  <c r="P12" i="9"/>
  <c r="P13" i="9"/>
  <c r="P14" i="9"/>
  <c r="P15" i="9"/>
  <c r="P16" i="9"/>
  <c r="P17" i="9"/>
  <c r="P18" i="9"/>
  <c r="P19" i="9"/>
  <c r="P20" i="9"/>
  <c r="P21" i="9"/>
  <c r="V3" i="9"/>
  <c r="V2" i="9"/>
  <c r="R2" i="9" s="1"/>
  <c r="Q14" i="9"/>
  <c r="F2" i="9"/>
  <c r="F3" i="9"/>
  <c r="F4" i="9"/>
  <c r="F5" i="9"/>
  <c r="F6" i="9"/>
  <c r="F7" i="9"/>
  <c r="F8" i="9"/>
  <c r="F9" i="9"/>
  <c r="F10" i="9"/>
  <c r="F11" i="9"/>
  <c r="F12" i="9"/>
  <c r="F13" i="9"/>
  <c r="F14" i="9"/>
  <c r="F15" i="9"/>
  <c r="F16" i="9"/>
  <c r="F17" i="9"/>
  <c r="F18" i="9"/>
  <c r="F19" i="9"/>
  <c r="F20" i="9"/>
  <c r="F21" i="9"/>
  <c r="K2" i="9"/>
  <c r="K3" i="9"/>
  <c r="K4" i="9"/>
  <c r="K5" i="9"/>
  <c r="K6" i="9"/>
  <c r="K7" i="9"/>
  <c r="K8" i="9"/>
  <c r="K9" i="9"/>
  <c r="K10" i="9"/>
  <c r="K11" i="9"/>
  <c r="K12" i="9"/>
  <c r="K13" i="9"/>
  <c r="K14" i="9"/>
  <c r="K15" i="9"/>
  <c r="K16" i="9"/>
  <c r="K17" i="9"/>
  <c r="K18" i="9"/>
  <c r="K19" i="9"/>
  <c r="K20" i="9"/>
  <c r="K21" i="9"/>
  <c r="J2" i="9"/>
  <c r="J3" i="9"/>
  <c r="J4" i="9"/>
  <c r="J5" i="9"/>
  <c r="J6" i="9"/>
  <c r="J7" i="9"/>
  <c r="J8" i="9"/>
  <c r="J9" i="9"/>
  <c r="J10" i="9"/>
  <c r="J11" i="9"/>
  <c r="J12" i="9"/>
  <c r="J13" i="9"/>
  <c r="J14" i="9"/>
  <c r="J15" i="9"/>
  <c r="J16" i="9"/>
  <c r="J17" i="9"/>
  <c r="J18" i="9"/>
  <c r="J19" i="9"/>
  <c r="J20" i="9"/>
  <c r="J21" i="9"/>
  <c r="I2" i="9"/>
  <c r="I3" i="9"/>
  <c r="I4" i="9"/>
  <c r="I5" i="9"/>
  <c r="I6" i="9"/>
  <c r="I7" i="9"/>
  <c r="I8" i="9"/>
  <c r="I9" i="9"/>
  <c r="I10" i="9"/>
  <c r="I11" i="9"/>
  <c r="I12" i="9"/>
  <c r="I13" i="9"/>
  <c r="I14" i="9"/>
  <c r="I15" i="9"/>
  <c r="I16" i="9"/>
  <c r="I17" i="9"/>
  <c r="I18" i="9"/>
  <c r="I19" i="9"/>
  <c r="I20" i="9"/>
  <c r="I21" i="9"/>
  <c r="G2" i="9"/>
  <c r="G3" i="9"/>
  <c r="G4" i="9"/>
  <c r="G5" i="9"/>
  <c r="G6" i="9"/>
  <c r="G7" i="9"/>
  <c r="G8" i="9"/>
  <c r="G9" i="9"/>
  <c r="G10" i="9"/>
  <c r="G11" i="9"/>
  <c r="G12" i="9"/>
  <c r="G13" i="9"/>
  <c r="G14" i="9"/>
  <c r="G15" i="9"/>
  <c r="G16" i="9"/>
  <c r="G17" i="9"/>
  <c r="G18" i="9"/>
  <c r="G19" i="9"/>
  <c r="G20" i="9"/>
  <c r="G21" i="9"/>
  <c r="M9" i="3"/>
  <c r="M8" i="3"/>
  <c r="M7" i="3"/>
  <c r="M3" i="3"/>
  <c r="M5" i="3"/>
  <c r="M6" i="3"/>
  <c r="M4" i="3"/>
  <c r="M2" i="3"/>
  <c r="I2" i="3"/>
  <c r="J18" i="7" s="1"/>
  <c r="I3" i="3"/>
  <c r="I4" i="3"/>
  <c r="J9" i="7" s="1"/>
  <c r="I5" i="3"/>
  <c r="J6" i="7" s="1"/>
  <c r="I6" i="3"/>
  <c r="J12" i="7" s="1"/>
  <c r="C3" i="7"/>
  <c r="C5" i="7"/>
  <c r="C7" i="7"/>
  <c r="C10" i="7"/>
  <c r="C12" i="7"/>
  <c r="C16" i="7"/>
  <c r="C18" i="7"/>
  <c r="C19" i="7"/>
  <c r="C20" i="7"/>
  <c r="C21" i="7"/>
  <c r="C2" i="7"/>
  <c r="C4" i="7"/>
  <c r="C6" i="7"/>
  <c r="C8" i="7"/>
  <c r="C9" i="7"/>
  <c r="C11" i="7"/>
  <c r="C13" i="7"/>
  <c r="C14" i="7"/>
  <c r="C15" i="7"/>
  <c r="C17" i="7"/>
  <c r="D3" i="7"/>
  <c r="D5" i="7"/>
  <c r="D7" i="7"/>
  <c r="D10" i="7"/>
  <c r="D12" i="7"/>
  <c r="D16" i="7"/>
  <c r="D18" i="7"/>
  <c r="D19" i="7"/>
  <c r="D20" i="7"/>
  <c r="D21" i="7"/>
  <c r="D2" i="7"/>
  <c r="D4" i="7"/>
  <c r="D6" i="7"/>
  <c r="D8" i="7"/>
  <c r="D9" i="7"/>
  <c r="D11" i="7"/>
  <c r="D13" i="7"/>
  <c r="D14" i="7"/>
  <c r="D15" i="7"/>
  <c r="D17" i="7"/>
  <c r="E3" i="7"/>
  <c r="R3" i="7" s="1"/>
  <c r="E5" i="7"/>
  <c r="R5" i="7" s="1"/>
  <c r="E7" i="7"/>
  <c r="R7" i="7" s="1"/>
  <c r="E10" i="7"/>
  <c r="R10" i="7" s="1"/>
  <c r="E12" i="7"/>
  <c r="R12" i="7" s="1"/>
  <c r="E16" i="7"/>
  <c r="R16" i="7" s="1"/>
  <c r="E18" i="7"/>
  <c r="R18" i="7" s="1"/>
  <c r="E19" i="7"/>
  <c r="R19" i="7" s="1"/>
  <c r="E20" i="7"/>
  <c r="R20" i="7" s="1"/>
  <c r="E21" i="7"/>
  <c r="R21" i="7" s="1"/>
  <c r="E2" i="7"/>
  <c r="R2" i="7" s="1"/>
  <c r="E4" i="7"/>
  <c r="R4" i="7" s="1"/>
  <c r="E6" i="7"/>
  <c r="R6" i="7" s="1"/>
  <c r="E8" i="7"/>
  <c r="R8" i="7" s="1"/>
  <c r="E9" i="7"/>
  <c r="R9" i="7" s="1"/>
  <c r="E11" i="7"/>
  <c r="R11" i="7" s="1"/>
  <c r="E13" i="7"/>
  <c r="R13" i="7" s="1"/>
  <c r="E14" i="7"/>
  <c r="R14" i="7" s="1"/>
  <c r="E15" i="7"/>
  <c r="R15" i="7" s="1"/>
  <c r="E17" i="7"/>
  <c r="R17" i="7" s="1"/>
  <c r="H3" i="7"/>
  <c r="H5" i="7"/>
  <c r="H7" i="7"/>
  <c r="H10" i="7"/>
  <c r="H12" i="7"/>
  <c r="H16" i="7"/>
  <c r="H18" i="7"/>
  <c r="H19" i="7"/>
  <c r="H20" i="7"/>
  <c r="H21" i="7"/>
  <c r="H2" i="7"/>
  <c r="H4" i="7"/>
  <c r="H6" i="7"/>
  <c r="H8" i="7"/>
  <c r="H9" i="7"/>
  <c r="H11" i="7"/>
  <c r="H13" i="7"/>
  <c r="H14" i="7"/>
  <c r="H15" i="7"/>
  <c r="H17" i="7"/>
  <c r="K3" i="7"/>
  <c r="K5" i="7"/>
  <c r="K7" i="7"/>
  <c r="K10" i="7"/>
  <c r="K12" i="7"/>
  <c r="K16" i="7"/>
  <c r="K18" i="7"/>
  <c r="K19" i="7"/>
  <c r="K20" i="7"/>
  <c r="K21" i="7"/>
  <c r="K2" i="7"/>
  <c r="K4" i="7"/>
  <c r="K6" i="7"/>
  <c r="K8" i="7"/>
  <c r="K9" i="7"/>
  <c r="K11" i="7"/>
  <c r="K13" i="7"/>
  <c r="K14" i="7"/>
  <c r="K15" i="7"/>
  <c r="K17" i="7"/>
  <c r="F2" i="2"/>
  <c r="G18" i="7" s="1"/>
  <c r="F3" i="2"/>
  <c r="G12" i="7" s="1"/>
  <c r="F4" i="2"/>
  <c r="G16" i="7" s="1"/>
  <c r="F5" i="2"/>
  <c r="G19" i="7" s="1"/>
  <c r="F6" i="2"/>
  <c r="H6" i="2" s="1"/>
  <c r="G2" i="2" a="1"/>
  <c r="G2" i="2" s="1"/>
  <c r="G3" i="2" a="1"/>
  <c r="G3" i="2" s="1"/>
  <c r="G4" i="2" a="1"/>
  <c r="G4" i="2" s="1"/>
  <c r="G5" i="2" a="1"/>
  <c r="G5" i="2" s="1"/>
  <c r="G6" i="2" a="1"/>
  <c r="G6" i="2" s="1"/>
  <c r="E3" i="9"/>
  <c r="E4" i="9"/>
  <c r="E5" i="9"/>
  <c r="E6" i="9"/>
  <c r="E7" i="9"/>
  <c r="E8" i="9"/>
  <c r="E9" i="9"/>
  <c r="E10" i="9"/>
  <c r="E11" i="9"/>
  <c r="E12" i="9"/>
  <c r="E13" i="9"/>
  <c r="E14" i="9"/>
  <c r="E15" i="9"/>
  <c r="E16" i="9"/>
  <c r="E17" i="9"/>
  <c r="E18" i="9"/>
  <c r="E19" i="9"/>
  <c r="E20" i="9"/>
  <c r="E21" i="9"/>
  <c r="E2" i="9"/>
  <c r="D3" i="9"/>
  <c r="D4" i="9"/>
  <c r="D5" i="9"/>
  <c r="D6" i="9"/>
  <c r="D7" i="9"/>
  <c r="D8" i="9"/>
  <c r="D9" i="9"/>
  <c r="D10" i="9"/>
  <c r="D11" i="9"/>
  <c r="D12" i="9"/>
  <c r="D13" i="9"/>
  <c r="D14" i="9"/>
  <c r="D15" i="9"/>
  <c r="D16" i="9"/>
  <c r="D17" i="9"/>
  <c r="D18" i="9"/>
  <c r="D19" i="9"/>
  <c r="D20" i="9"/>
  <c r="D21" i="9"/>
  <c r="D2" i="9"/>
  <c r="C3" i="9"/>
  <c r="C4" i="9"/>
  <c r="C5" i="9"/>
  <c r="C6" i="9"/>
  <c r="C7" i="9"/>
  <c r="C8" i="9"/>
  <c r="C9" i="9"/>
  <c r="C10" i="9"/>
  <c r="C11" i="9"/>
  <c r="C12" i="9"/>
  <c r="C13" i="9"/>
  <c r="C14" i="9"/>
  <c r="C15" i="9"/>
  <c r="C16" i="9"/>
  <c r="C17" i="9"/>
  <c r="C18" i="9"/>
  <c r="C19" i="9"/>
  <c r="C20" i="9"/>
  <c r="C21" i="9"/>
  <c r="C2" i="9"/>
  <c r="B3" i="9"/>
  <c r="B4" i="9"/>
  <c r="B5" i="9"/>
  <c r="B6" i="9"/>
  <c r="B7" i="9"/>
  <c r="B8" i="9"/>
  <c r="B9" i="9"/>
  <c r="B10" i="9"/>
  <c r="B11" i="9"/>
  <c r="B12" i="9"/>
  <c r="B13" i="9"/>
  <c r="B14" i="9"/>
  <c r="H14" i="9" s="1"/>
  <c r="M14" i="9" s="1"/>
  <c r="B15" i="9"/>
  <c r="B16" i="9"/>
  <c r="B17" i="9"/>
  <c r="B18" i="9"/>
  <c r="B19" i="9"/>
  <c r="B20" i="9"/>
  <c r="B21" i="9"/>
  <c r="B2" i="9"/>
  <c r="R15" i="9" l="1"/>
  <c r="R13" i="9"/>
  <c r="R17" i="9"/>
  <c r="R16" i="9"/>
  <c r="R14" i="9"/>
  <c r="R12" i="9"/>
  <c r="R11" i="9"/>
  <c r="R9" i="9"/>
  <c r="R10" i="9"/>
  <c r="R8" i="9"/>
  <c r="R7" i="9"/>
  <c r="R6" i="9"/>
  <c r="R21" i="9"/>
  <c r="R5" i="9"/>
  <c r="R20" i="9"/>
  <c r="R4" i="9"/>
  <c r="R19" i="9"/>
  <c r="R3" i="9"/>
  <c r="R18" i="9"/>
  <c r="H15" i="9"/>
  <c r="O14" i="9"/>
  <c r="H11" i="9"/>
  <c r="N15" i="9"/>
  <c r="N14" i="9"/>
  <c r="H17" i="9"/>
  <c r="H16" i="9"/>
  <c r="H10" i="9"/>
  <c r="H9" i="9"/>
  <c r="H8" i="9"/>
  <c r="H7" i="9"/>
  <c r="H6" i="9"/>
  <c r="H21" i="9"/>
  <c r="H5" i="9"/>
  <c r="H20" i="9"/>
  <c r="H4" i="9"/>
  <c r="H19" i="9"/>
  <c r="H3" i="9"/>
  <c r="H18" i="9"/>
  <c r="H2" i="9"/>
  <c r="H13" i="9"/>
  <c r="H12" i="9"/>
  <c r="L21" i="9"/>
  <c r="L5" i="9"/>
  <c r="L20" i="9"/>
  <c r="L4" i="9"/>
  <c r="L19" i="9"/>
  <c r="L3" i="9"/>
  <c r="L13" i="9"/>
  <c r="L12" i="9"/>
  <c r="L11" i="9"/>
  <c r="L17" i="9"/>
  <c r="L16" i="9"/>
  <c r="L15" i="9"/>
  <c r="L18" i="9"/>
  <c r="L2" i="9"/>
  <c r="L6" i="9"/>
  <c r="L10" i="9"/>
  <c r="L14" i="9"/>
  <c r="L9" i="9"/>
  <c r="L8" i="9"/>
  <c r="L7" i="9"/>
  <c r="J6" i="2"/>
  <c r="J5" i="2"/>
  <c r="J4" i="2"/>
  <c r="J3" i="2"/>
  <c r="J2" i="2"/>
  <c r="J17" i="7"/>
  <c r="J15" i="7"/>
  <c r="J14" i="7"/>
  <c r="J13" i="7"/>
  <c r="J19" i="7"/>
  <c r="K6" i="2"/>
  <c r="K5" i="2"/>
  <c r="K3" i="2"/>
  <c r="K4" i="2"/>
  <c r="K2" i="2"/>
  <c r="I6" i="2"/>
  <c r="I5" i="2"/>
  <c r="I4" i="2"/>
  <c r="I3" i="2"/>
  <c r="I2" i="2"/>
  <c r="G17" i="7"/>
  <c r="H5" i="2"/>
  <c r="G5" i="7"/>
  <c r="H4" i="2"/>
  <c r="G3" i="7"/>
  <c r="H3" i="2"/>
  <c r="H2" i="2"/>
  <c r="G7" i="7"/>
  <c r="G15" i="7"/>
  <c r="G14" i="7"/>
  <c r="G11" i="7"/>
  <c r="G9" i="7"/>
  <c r="G8" i="7"/>
  <c r="G6" i="7"/>
  <c r="G2" i="7"/>
  <c r="G10" i="7"/>
  <c r="G20" i="7"/>
  <c r="G4" i="7"/>
  <c r="G21" i="7"/>
  <c r="G13" i="7"/>
  <c r="J7" i="7"/>
  <c r="J5" i="7"/>
  <c r="J3" i="7"/>
  <c r="J10" i="7"/>
  <c r="J11" i="7"/>
  <c r="J8" i="7"/>
  <c r="J4" i="7"/>
  <c r="J2" i="7"/>
  <c r="J21" i="7"/>
  <c r="J20" i="7"/>
  <c r="J16" i="7"/>
  <c r="M15" i="9" l="1"/>
  <c r="M5" i="9"/>
  <c r="N5" i="9"/>
  <c r="M9" i="9"/>
  <c r="N9" i="9"/>
  <c r="M19" i="9"/>
  <c r="N19" i="9"/>
  <c r="M21" i="9"/>
  <c r="N21" i="9"/>
  <c r="M8" i="9"/>
  <c r="N8" i="9"/>
  <c r="M13" i="9"/>
  <c r="N13" i="9"/>
  <c r="M3" i="9"/>
  <c r="N3" i="9"/>
  <c r="M20" i="9"/>
  <c r="N20" i="9"/>
  <c r="M6" i="9"/>
  <c r="N6" i="9"/>
  <c r="M10" i="9"/>
  <c r="N10" i="9"/>
  <c r="M4" i="9"/>
  <c r="N4" i="9"/>
  <c r="M7" i="9"/>
  <c r="N7" i="9"/>
  <c r="M16" i="9"/>
  <c r="N16" i="9"/>
  <c r="M12" i="9"/>
  <c r="N12" i="9"/>
  <c r="M17" i="9"/>
  <c r="N17" i="9"/>
  <c r="M2" i="9"/>
  <c r="N2" i="9"/>
  <c r="M18" i="9"/>
  <c r="N18" i="9"/>
  <c r="M11" i="9"/>
  <c r="N11" i="9"/>
  <c r="O8" i="9" l="1"/>
  <c r="Q8" i="9"/>
  <c r="O12" i="9"/>
  <c r="Q12" i="9"/>
  <c r="O21" i="9"/>
  <c r="Q21" i="9"/>
  <c r="O19" i="9"/>
  <c r="Q19" i="9"/>
  <c r="O9" i="9"/>
  <c r="Q9" i="9"/>
  <c r="O20" i="9"/>
  <c r="Q20" i="9"/>
  <c r="O11" i="9"/>
  <c r="Q11" i="9"/>
  <c r="O18" i="9"/>
  <c r="Q18" i="9"/>
  <c r="O5" i="9"/>
  <c r="Q5" i="9"/>
  <c r="O2" i="9"/>
  <c r="Q2" i="9"/>
  <c r="O15" i="9"/>
  <c r="Q15" i="9"/>
  <c r="O13" i="9"/>
  <c r="Q13" i="9"/>
  <c r="O16" i="9"/>
  <c r="Q16" i="9"/>
  <c r="O7" i="9"/>
  <c r="Q7" i="9"/>
  <c r="O4" i="9"/>
  <c r="Q4" i="9"/>
  <c r="O10" i="9"/>
  <c r="Q10" i="9"/>
  <c r="O6" i="9"/>
  <c r="Q6" i="9"/>
  <c r="O17" i="9"/>
  <c r="Q17" i="9"/>
  <c r="O3" i="9"/>
  <c r="Q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E369D4-E5D7-4AE5-87FD-4D4B9946339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2474CDB-709D-4EF1-8944-A2FDB3C67B90}"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2BB46955-3A89-42CF-B248-C82F7005ED5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6A56D0DA-BB8D-4223-B614-C7FB0B79D515}"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5" xr16:uid="{104582E9-90C4-44C9-9723-6AFB470162F6}" keepAlive="1" name="Query - OrdersArchive" description="Connection to the 'OrdersArchive' query in the workbook." type="5" refreshedVersion="8" background="1" saveData="1">
    <dbPr connection="Provider=Microsoft.Mashup.OleDb.1;Data Source=$Workbook$;Location=OrdersArchive;Extended Properties=&quot;&quot;" command="SELECT * FROM [OrdersArchive]"/>
  </connection>
  <connection id="6" xr16:uid="{81924CD0-DF2A-493D-9E2C-459CBD9D359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<sst xmlns="http://schemas.openxmlformats.org/spreadsheetml/2006/main" count="343" uniqueCount="165">
  <si>
    <t>CustomerID</t>
  </si>
  <si>
    <t>FirstName</t>
  </si>
  <si>
    <t>LastName</t>
  </si>
  <si>
    <t>Country</t>
  </si>
  <si>
    <t>Score</t>
  </si>
  <si>
    <t>Jossef</t>
  </si>
  <si>
    <t>Goldberg</t>
  </si>
  <si>
    <t>Germany</t>
  </si>
  <si>
    <t>Kevin</t>
  </si>
  <si>
    <t>Brown</t>
  </si>
  <si>
    <t>USA</t>
  </si>
  <si>
    <t>Mary</t>
  </si>
  <si>
    <t/>
  </si>
  <si>
    <t>Mark</t>
  </si>
  <si>
    <t>Schwarz</t>
  </si>
  <si>
    <t>Anna</t>
  </si>
  <si>
    <t>Adams</t>
  </si>
  <si>
    <t>EmployeeID</t>
  </si>
  <si>
    <t>Department</t>
  </si>
  <si>
    <t>BirthDate</t>
  </si>
  <si>
    <t>Gender</t>
  </si>
  <si>
    <t>Salary</t>
  </si>
  <si>
    <t>ManagerID</t>
  </si>
  <si>
    <t>Frank</t>
  </si>
  <si>
    <t>Lee</t>
  </si>
  <si>
    <t>Marketing</t>
  </si>
  <si>
    <t>M</t>
  </si>
  <si>
    <t>Sales</t>
  </si>
  <si>
    <t>F</t>
  </si>
  <si>
    <t>Michael</t>
  </si>
  <si>
    <t>Ray</t>
  </si>
  <si>
    <t>Carol</t>
  </si>
  <si>
    <t>Baker</t>
  </si>
  <si>
    <t>OrderID</t>
  </si>
  <si>
    <t>ProductID</t>
  </si>
  <si>
    <t>SalesPersonID</t>
  </si>
  <si>
    <t>OrderDate</t>
  </si>
  <si>
    <t>ShipDate</t>
  </si>
  <si>
    <t>OrderStatus</t>
  </si>
  <si>
    <t>ShipAddress</t>
  </si>
  <si>
    <t>BillAddress</t>
  </si>
  <si>
    <t>Quantity</t>
  </si>
  <si>
    <t>CreationTime</t>
  </si>
  <si>
    <t>Delivered</t>
  </si>
  <si>
    <t>9833 Mt. Dias Blv.</t>
  </si>
  <si>
    <t>1226 Shoe St.</t>
  </si>
  <si>
    <t>Shipped</t>
  </si>
  <si>
    <t>250 Race Court</t>
  </si>
  <si>
    <t>8157 W. Book</t>
  </si>
  <si>
    <t>5724 Victory Lane</t>
  </si>
  <si>
    <t>1792 Belmont Rd.</t>
  </si>
  <si>
    <t>136 Balboa Court</t>
  </si>
  <si>
    <t>2947 Vine Lane</t>
  </si>
  <si>
    <t>4311 Clay Rd</t>
  </si>
  <si>
    <t>3768 Door Way</t>
  </si>
  <si>
    <t>123 Main St</t>
  </si>
  <si>
    <t>456 Billing St</t>
  </si>
  <si>
    <t>456 Elm St</t>
  </si>
  <si>
    <t>789 Billing St</t>
  </si>
  <si>
    <t>789 Maple St</t>
  </si>
  <si>
    <t>987 Victory Lane</t>
  </si>
  <si>
    <t>345 Oak St</t>
  </si>
  <si>
    <t>678 Pine St</t>
  </si>
  <si>
    <t>543 Belmont Rd.</t>
  </si>
  <si>
    <t>111 Main St</t>
  </si>
  <si>
    <t>222 Billing St</t>
  </si>
  <si>
    <t>Product</t>
  </si>
  <si>
    <t>Category</t>
  </si>
  <si>
    <t>Price</t>
  </si>
  <si>
    <t>Bottle</t>
  </si>
  <si>
    <t>Accessories</t>
  </si>
  <si>
    <t>Tire</t>
  </si>
  <si>
    <t>Socks</t>
  </si>
  <si>
    <t>Clothing</t>
  </si>
  <si>
    <t>Caps</t>
  </si>
  <si>
    <t>Gloves</t>
  </si>
  <si>
    <t>FullName</t>
  </si>
  <si>
    <t>CustomerTier</t>
  </si>
  <si>
    <t>Day</t>
  </si>
  <si>
    <t>Year</t>
  </si>
  <si>
    <t>Month</t>
  </si>
  <si>
    <t>MonthName</t>
  </si>
  <si>
    <t>WeekdayName</t>
  </si>
  <si>
    <t>CustomerName</t>
  </si>
  <si>
    <t>SalesPersonName</t>
  </si>
  <si>
    <t>Length of full name</t>
  </si>
  <si>
    <t>First_name_Extracted</t>
  </si>
  <si>
    <t>LastName_extracted</t>
  </si>
  <si>
    <t>Is Text_check</t>
  </si>
  <si>
    <t>Customer Sheet--What I Did:</t>
  </si>
  <si>
    <t xml:space="preserve">                                                                 •Cleaned Raw Data: Standardized text using Trim and Proper</t>
  </si>
  <si>
    <t xml:space="preserve">                                                                 •Merged First name+ Last name using &amp; operator,Trim,Proper</t>
  </si>
  <si>
    <t xml:space="preserve">                                                                 •Extracted:</t>
  </si>
  <si>
    <t xml:space="preserve">                                                                 •Segmented customers into tiers using IFS formula</t>
  </si>
  <si>
    <t xml:space="preserve">                                                                •Calculated length of full name</t>
  </si>
  <si>
    <t xml:space="preserve">                                                                •Validated data type using ISTEXT</t>
  </si>
  <si>
    <t xml:space="preserve">                                                                                       • First name using Iferror + left + find</t>
  </si>
  <si>
    <t xml:space="preserve">                                                                                       • Last name using Iferror+Mid+find+len ,,Iferror for single name handling</t>
  </si>
  <si>
    <t>COUNT</t>
  </si>
  <si>
    <t>COUNTA</t>
  </si>
  <si>
    <t>COUNTBLANK</t>
  </si>
  <si>
    <t>MIN</t>
  </si>
  <si>
    <t>MAX</t>
  </si>
  <si>
    <t>SUMIFS</t>
  </si>
  <si>
    <t>COUNTIFS</t>
  </si>
  <si>
    <t>Function</t>
  </si>
  <si>
    <t>Value</t>
  </si>
  <si>
    <t>AVERAGEIFS</t>
  </si>
  <si>
    <t>Employees Sheet: What I Did:</t>
  </si>
  <si>
    <t xml:space="preserve">                                                            •Added Full Name Column using  TextJoin,Proper and Trim functions</t>
  </si>
  <si>
    <t xml:space="preserve">                                                            •Applied Data Validation on Gender,Department and ManagerID to prevent invallid Data Entry</t>
  </si>
  <si>
    <t xml:space="preserve">                                                            •Built a summary statistics table using Count,CountA,CountBlank,Max,Min</t>
  </si>
  <si>
    <t xml:space="preserve">                                                            •Used multicondition </t>
  </si>
  <si>
    <t xml:space="preserve">                                                                                                     •Countifs-to count male marketing employees</t>
  </si>
  <si>
    <t>Hour</t>
  </si>
  <si>
    <t>Minute</t>
  </si>
  <si>
    <t>Time</t>
  </si>
  <si>
    <t>Seconds</t>
  </si>
  <si>
    <t>Week day</t>
  </si>
  <si>
    <t>Date</t>
  </si>
  <si>
    <t>EOMonth</t>
  </si>
  <si>
    <t>Edate</t>
  </si>
  <si>
    <t>Network Days</t>
  </si>
  <si>
    <t>workdays</t>
  </si>
  <si>
    <t>Days</t>
  </si>
  <si>
    <t>YearFrac</t>
  </si>
  <si>
    <t xml:space="preserve">Functions </t>
  </si>
  <si>
    <t>Current Date</t>
  </si>
  <si>
    <t>Current Time</t>
  </si>
  <si>
    <t>Date2 Sheet : What I Did:</t>
  </si>
  <si>
    <t xml:space="preserve">                                                        • Extracted and Formatted date/time components using Year,Month,Day,WeekDay,Hour,Minute,Seconds and Text Functions.</t>
  </si>
  <si>
    <t xml:space="preserve">                                                        • Added dynamic Today() and Now() functions for real-time date and time</t>
  </si>
  <si>
    <t xml:space="preserve">                                                        • Calculated date-based metrics including EOMonth,Edate,NetworkDays,WorkDays,Days,YearFrac to analyse working days,end of month  and date differences</t>
  </si>
  <si>
    <t xml:space="preserve">                                                                                                     •SumIfs-To calculate total salary for Male Marketing Employees</t>
  </si>
  <si>
    <t xml:space="preserve">                                                                                                     •AverageIfs-To calculate average salary for Male Marketing Employees</t>
  </si>
  <si>
    <t>Not Available</t>
  </si>
  <si>
    <t>Shipping days</t>
  </si>
  <si>
    <t>Order Year</t>
  </si>
  <si>
    <t>CalcRevenue</t>
  </si>
  <si>
    <t>Orders Combined sheet: What I Did:</t>
  </si>
  <si>
    <t xml:space="preserve">                  •Appended Orders+Orders Archive using power query,sorted by OrderID and then Year.</t>
  </si>
  <si>
    <t xml:space="preserve">                  •Pulled Product,Customer and Employee Details using Vlookup,Xlookup and Index-Match</t>
  </si>
  <si>
    <t xml:space="preserve">                  •Applied conditional formatting to flag order status,zero quantity and revenue mismatches</t>
  </si>
  <si>
    <t xml:space="preserve">                  •Added CalcRevenue,Shipping Days and OrderYear columns</t>
  </si>
  <si>
    <t xml:space="preserve">                  •Custom sorted by OrderId then Order Year for clean 2024-2025 comparison</t>
  </si>
  <si>
    <t>Grand Total</t>
  </si>
  <si>
    <t>Sum of Sales</t>
  </si>
  <si>
    <t>Carol Baker</t>
  </si>
  <si>
    <t>Frank Lee</t>
  </si>
  <si>
    <t>Michael Ray</t>
  </si>
  <si>
    <t>Average of Shipping days</t>
  </si>
  <si>
    <t>Sales by Category</t>
  </si>
  <si>
    <t>SalesPerson</t>
  </si>
  <si>
    <t>Sales by Sales Person</t>
  </si>
  <si>
    <t>2024 VS 2025 Product Comparision</t>
  </si>
  <si>
    <t>Sales by Country</t>
  </si>
  <si>
    <t>Average Shipping Days by SalesPerson</t>
  </si>
  <si>
    <t>Jan</t>
  </si>
  <si>
    <t>Feb</t>
  </si>
  <si>
    <t>Mar</t>
  </si>
  <si>
    <t>Apr</t>
  </si>
  <si>
    <t>May</t>
  </si>
  <si>
    <t>Jun</t>
  </si>
  <si>
    <t>Monthly sales Trend 2024 vs 2025</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</si>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</sst>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0"/>
      <name val="Aptos Narrow"/>
      <family val="2"/>
      <scheme val="minor"/>
    </font>
    <font>
      <sz val="8"/>
      <name val="Aptos Narrow"/>
      <family val="2"/>
      <scheme val="minor"/>
    </font>
    <font>
      <b/>
      <sz val="12"/>
      <color theme="9" tint="-0.499984740745262"/>
      <name val="Aptos Narrow"/>
      <family val="2"/>
      <scheme val="minor"/>
    </font>
    <font>
      <sz val="12"/>
      <color theme="9" tint="-0.499984740745262"/>
      <name val="Aptos Narrow"/>
      <family val="2"/>
      <scheme val="minor"/>
    </font>
    <font>
      <b/>
      <sz val="11"/>
      <color theme="6" tint="-0.499984740745262"/>
      <name val="Aptos Narrow"/>
      <family val="2"/>
      <scheme val="minor"/>
    </font>
    <font>
      <b/>
      <sz val="14"/>
      <color theme="6" tint="-0.499984740745262"/>
      <name val="Aptos Narrow"/>
      <family val="2"/>
      <scheme val="minor"/>
    </font>
    <font>
      <b/>
      <sz val="12"/>
      <color theme="6" tint="-0.499984740745262"/>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s>
  <borders count="3">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22">
    <xf numFmtId="0" fontId="0" fillId="0" borderId="0" xfId="0"/>
    <xf numFmtId="14" fontId="0" fillId="0" borderId="0" xfId="0" applyNumberFormat="1"/>
    <xf numFmtId="22" fontId="0" fillId="0" borderId="0" xfId="0" applyNumberFormat="1"/>
    <xf numFmtId="22" fontId="0" fillId="0" borderId="1" xfId="0" applyNumberFormat="1" applyBorder="1"/>
    <xf numFmtId="22" fontId="0" fillId="0" borderId="2" xfId="0" applyNumberFormat="1" applyBorder="1"/>
    <xf numFmtId="0" fontId="1" fillId="2" borderId="2" xfId="0" applyFont="1" applyFill="1" applyBorder="1"/>
    <xf numFmtId="22" fontId="0" fillId="3" borderId="2" xfId="0" applyNumberFormat="1" applyFill="1" applyBorder="1"/>
    <xf numFmtId="0" fontId="0" fillId="0" borderId="0" xfId="0" applyAlignment="1">
      <alignment horizontal="center"/>
    </xf>
    <xf numFmtId="0" fontId="0" fillId="0" borderId="0" xfId="0" applyAlignment="1">
      <alignment wrapText="1"/>
    </xf>
    <xf numFmtId="18"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0" fillId="0" borderId="0" xfId="0"/>
    <xf numFmtId="0" fontId="7"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6" fillId="4" borderId="0" xfId="0" applyFont="1" applyFill="1" applyAlignment="1">
      <alignment horizontal="center" vertical="center"/>
    </xf>
    <xf numFmtId="0" fontId="0" fillId="4" borderId="0" xfId="0" applyFill="1" applyAlignment="1">
      <alignment horizontal="center" vertical="center"/>
    </xf>
  </cellXfs>
  <cellStyles count="1">
    <cellStyle name="Normal" xfId="0" builtinId="0"/>
  </cellStyles>
  <dxfs count="6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numFmt numFmtId="27" formatCode="m/d/yyyy\ h:mm"/>
    </dxf>
    <dxf>
      <numFmt numFmtId="0" formatCode="General"/>
    </dxf>
    <dxf>
      <numFmt numFmtId="0" formatCode="General"/>
    </dxf>
    <dxf>
      <numFmt numFmtId="0" formatCode="General"/>
    </dxf>
    <dxf>
      <numFmt numFmtId="19" formatCode="m/d/yyyy"/>
    </dxf>
    <dxf>
      <numFmt numFmtId="19" formatCode="m/d/yyyy"/>
    </dxf>
    <dxf>
      <numFmt numFmtId="27" formatCode="m/d/yyyy\ h:mm"/>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4" formatCode="0.0"/>
    </dxf>
    <dxf>
      <numFmt numFmtId="0" formatCode="General"/>
    </dxf>
    <dxf>
      <numFmt numFmtId="19" formatCode="m/d/yyyy"/>
    </dxf>
    <dxf>
      <numFmt numFmtId="0" formatCode="General"/>
    </dxf>
    <dxf>
      <numFmt numFmtId="19" formatCode="m/d/yyyy"/>
    </dxf>
    <dxf>
      <numFmt numFmtId="19" formatCode="m/d/yyyy"/>
    </dxf>
    <dxf>
      <numFmt numFmtId="23" formatCode="h:mm\ AM/PM"/>
    </dxf>
    <dxf>
      <numFmt numFmtId="0" formatCode="General"/>
    </dxf>
    <dxf>
      <numFmt numFmtId="0" formatCode="General"/>
    </dxf>
    <dxf>
      <numFmt numFmtId="0" formatCode="General"/>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27" formatCode="m/d/yyyy\ h:mm"/>
      <border diagonalUp="0" diagonalDown="0">
        <left/>
        <right/>
        <top style="thin">
          <color theme="9" tint="0.39997558519241921"/>
        </top>
        <bottom/>
        <vertical/>
        <horizontal/>
      </border>
    </dxf>
    <dxf>
      <border outline="0">
        <left style="thin">
          <color theme="9"/>
        </left>
      </border>
    </dxf>
    <dxf>
      <numFmt numFmtId="2" formatCode="0.0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50000"/>
                  </a:schemeClr>
                </a:solidFill>
              </a:rPr>
              <a:t>Sales</a:t>
            </a:r>
            <a:r>
              <a:rPr lang="en-US" baseline="0">
                <a:solidFill>
                  <a:schemeClr val="accent3">
                    <a:lumMod val="50000"/>
                  </a:schemeClr>
                </a:solidFill>
              </a:rPr>
              <a:t> By SalesPerson</a:t>
            </a:r>
            <a:endParaRPr lang="en-US">
              <a:solidFill>
                <a:schemeClr val="accent3">
                  <a:lumMod val="50000"/>
                </a:schemeClr>
              </a:solidFill>
            </a:endParaRPr>
          </a:p>
        </c:rich>
      </c:tx>
      <c:layout>
        <c:manualLayout>
          <c:xMode val="edge"/>
          <c:yMode val="edge"/>
          <c:x val="0.29722206926931333"/>
          <c:y val="4.1238002184033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Tables'!$D$12</c:f>
              <c:strCache>
                <c:ptCount val="1"/>
                <c:pt idx="0">
                  <c:v>Total</c:v>
                </c:pt>
              </c:strCache>
            </c:strRef>
          </c:tx>
          <c:spPr>
            <a:solidFill>
              <a:schemeClr val="accent1"/>
            </a:solidFill>
            <a:ln>
              <a:noFill/>
            </a:ln>
            <a:effectLst/>
          </c:spPr>
          <c:invertIfNegative val="0"/>
          <c:cat>
            <c:strRef>
              <c:f>'Pivot Tables'!$C$13:$C$17</c:f>
              <c:strCache>
                <c:ptCount val="4"/>
                <c:pt idx="0">
                  <c:v>Carol Baker</c:v>
                </c:pt>
                <c:pt idx="1">
                  <c:v>Frank Lee</c:v>
                </c:pt>
                <c:pt idx="2">
                  <c:v>Mary</c:v>
                </c:pt>
                <c:pt idx="3">
                  <c:v>Michael Ray</c:v>
                </c:pt>
              </c:strCache>
            </c:strRef>
          </c:cat>
          <c:val>
            <c:numRef>
              <c:f>'Pivot Tables'!$D$13:$D$17</c:f>
              <c:numCache>
                <c:formatCode>General</c:formatCode>
                <c:ptCount val="4"/>
                <c:pt idx="0">
                  <c:v>390</c:v>
                </c:pt>
                <c:pt idx="1">
                  <c:v>30</c:v>
                </c:pt>
                <c:pt idx="2">
                  <c:v>340</c:v>
                </c:pt>
                <c:pt idx="3">
                  <c:v>20</c:v>
                </c:pt>
              </c:numCache>
            </c:numRef>
          </c:val>
          <c:extLst>
            <c:ext xmlns:c16="http://schemas.microsoft.com/office/drawing/2014/chart" uri="{C3380CC4-5D6E-409C-BE32-E72D297353CC}">
              <c16:uniqueId val="{00000000-5744-4423-849A-6699CB8966E1}"/>
            </c:ext>
          </c:extLst>
        </c:ser>
        <c:dLbls>
          <c:showLegendKey val="0"/>
          <c:showVal val="0"/>
          <c:showCatName val="0"/>
          <c:showSerName val="0"/>
          <c:showPercent val="0"/>
          <c:showBubbleSize val="0"/>
        </c:dLbls>
        <c:gapWidth val="182"/>
        <c:axId val="1845111727"/>
        <c:axId val="1845112687"/>
      </c:barChart>
      <c:catAx>
        <c:axId val="184511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12687"/>
        <c:crosses val="autoZero"/>
        <c:auto val="1"/>
        <c:lblAlgn val="ctr"/>
        <c:lblOffset val="100"/>
        <c:noMultiLvlLbl val="0"/>
      </c:catAx>
      <c:valAx>
        <c:axId val="184511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50000"/>
                  </a:schemeClr>
                </a:solidFill>
              </a:rPr>
              <a:t>Sales By Category</a:t>
            </a:r>
          </a:p>
        </c:rich>
      </c:tx>
      <c:layout>
        <c:manualLayout>
          <c:xMode val="edge"/>
          <c:yMode val="edge"/>
          <c:x val="0.354107765941022"/>
          <c:y val="5.3138849447097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a:noFill/>
            </a:ln>
            <a:effectLst/>
          </c:spPr>
          <c:invertIfNegative val="0"/>
          <c:cat>
            <c:strRef>
              <c:f>'Pivot Tables'!$C$4:$C$6</c:f>
              <c:strCache>
                <c:ptCount val="2"/>
                <c:pt idx="0">
                  <c:v>Accessories</c:v>
                </c:pt>
                <c:pt idx="1">
                  <c:v>Clothing</c:v>
                </c:pt>
              </c:strCache>
            </c:strRef>
          </c:cat>
          <c:val>
            <c:numRef>
              <c:f>'Pivot Tables'!$D$4:$D$6</c:f>
              <c:numCache>
                <c:formatCode>General</c:formatCode>
                <c:ptCount val="2"/>
                <c:pt idx="0">
                  <c:v>400</c:v>
                </c:pt>
                <c:pt idx="1">
                  <c:v>380</c:v>
                </c:pt>
              </c:numCache>
            </c:numRef>
          </c:val>
          <c:extLst>
            <c:ext xmlns:c16="http://schemas.microsoft.com/office/drawing/2014/chart" uri="{C3380CC4-5D6E-409C-BE32-E72D297353CC}">
              <c16:uniqueId val="{00000000-5BA6-4E00-9CC8-48BE95C0022B}"/>
            </c:ext>
          </c:extLst>
        </c:ser>
        <c:dLbls>
          <c:showLegendKey val="0"/>
          <c:showVal val="0"/>
          <c:showCatName val="0"/>
          <c:showSerName val="0"/>
          <c:showPercent val="0"/>
          <c:showBubbleSize val="0"/>
        </c:dLbls>
        <c:gapWidth val="182"/>
        <c:axId val="2013589903"/>
        <c:axId val="2013590383"/>
      </c:barChart>
      <c:catAx>
        <c:axId val="201358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90383"/>
        <c:crosses val="autoZero"/>
        <c:auto val="1"/>
        <c:lblAlgn val="ctr"/>
        <c:lblOffset val="100"/>
        <c:noMultiLvlLbl val="0"/>
      </c:catAx>
      <c:valAx>
        <c:axId val="201359038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8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50000"/>
                  </a:schemeClr>
                </a:solidFill>
              </a:rPr>
              <a:t>Sales By Product</a:t>
            </a:r>
          </a:p>
        </c:rich>
      </c:tx>
      <c:layout>
        <c:manualLayout>
          <c:xMode val="edge"/>
          <c:yMode val="edge"/>
          <c:x val="0.31698133566637499"/>
          <c:y val="4.7320727244860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2024</c:v>
                </c:pt>
              </c:strCache>
            </c:strRef>
          </c:tx>
          <c:spPr>
            <a:solidFill>
              <a:schemeClr val="tx1"/>
            </a:solidFill>
            <a:ln>
              <a:solidFill>
                <a:schemeClr val="accent3">
                  <a:lumMod val="60000"/>
                  <a:lumOff val="40000"/>
                </a:schemeClr>
              </a:solidFill>
            </a:ln>
            <a:effectLst/>
          </c:spPr>
          <c:invertIfNegative val="0"/>
          <c:cat>
            <c:strRef>
              <c:f>'Pivot Tables'!$F$5:$F$9</c:f>
              <c:strCache>
                <c:ptCount val="4"/>
                <c:pt idx="0">
                  <c:v>Bottle</c:v>
                </c:pt>
                <c:pt idx="1">
                  <c:v>Caps</c:v>
                </c:pt>
                <c:pt idx="2">
                  <c:v>Gloves</c:v>
                </c:pt>
                <c:pt idx="3">
                  <c:v>Tire</c:v>
                </c:pt>
              </c:strCache>
            </c:strRef>
          </c:cat>
          <c:val>
            <c:numRef>
              <c:f>'Pivot Tables'!$G$5:$G$9</c:f>
              <c:numCache>
                <c:formatCode>General</c:formatCode>
                <c:ptCount val="4"/>
                <c:pt idx="0">
                  <c:v>80</c:v>
                </c:pt>
                <c:pt idx="1">
                  <c:v>125</c:v>
                </c:pt>
                <c:pt idx="2">
                  <c:v>120</c:v>
                </c:pt>
                <c:pt idx="3">
                  <c:v>75</c:v>
                </c:pt>
              </c:numCache>
            </c:numRef>
          </c:val>
          <c:extLst>
            <c:ext xmlns:c16="http://schemas.microsoft.com/office/drawing/2014/chart" uri="{C3380CC4-5D6E-409C-BE32-E72D297353CC}">
              <c16:uniqueId val="{00000000-7E95-47DC-96FE-83E81262DF6F}"/>
            </c:ext>
          </c:extLst>
        </c:ser>
        <c:ser>
          <c:idx val="1"/>
          <c:order val="1"/>
          <c:tx>
            <c:strRef>
              <c:f>'Pivot Tables'!$H$3:$H$4</c:f>
              <c:strCache>
                <c:ptCount val="1"/>
                <c:pt idx="0">
                  <c:v>2025</c:v>
                </c:pt>
              </c:strCache>
            </c:strRef>
          </c:tx>
          <c:spPr>
            <a:solidFill>
              <a:schemeClr val="accent2"/>
            </a:solidFill>
            <a:ln>
              <a:noFill/>
            </a:ln>
            <a:effectLst/>
          </c:spPr>
          <c:invertIfNegative val="0"/>
          <c:cat>
            <c:strRef>
              <c:f>'Pivot Tables'!$F$5:$F$9</c:f>
              <c:strCache>
                <c:ptCount val="4"/>
                <c:pt idx="0">
                  <c:v>Bottle</c:v>
                </c:pt>
                <c:pt idx="1">
                  <c:v>Caps</c:v>
                </c:pt>
                <c:pt idx="2">
                  <c:v>Gloves</c:v>
                </c:pt>
                <c:pt idx="3">
                  <c:v>Tire</c:v>
                </c:pt>
              </c:strCache>
            </c:strRef>
          </c:cat>
          <c:val>
            <c:numRef>
              <c:f>'Pivot Tables'!$H$5:$H$9</c:f>
              <c:numCache>
                <c:formatCode>General</c:formatCode>
                <c:ptCount val="4"/>
                <c:pt idx="0">
                  <c:v>140</c:v>
                </c:pt>
                <c:pt idx="1">
                  <c:v>75</c:v>
                </c:pt>
                <c:pt idx="2">
                  <c:v>60</c:v>
                </c:pt>
                <c:pt idx="3">
                  <c:v>105</c:v>
                </c:pt>
              </c:numCache>
            </c:numRef>
          </c:val>
          <c:extLst>
            <c:ext xmlns:c16="http://schemas.microsoft.com/office/drawing/2014/chart" uri="{C3380CC4-5D6E-409C-BE32-E72D297353CC}">
              <c16:uniqueId val="{00000001-7E95-47DC-96FE-83E81262DF6F}"/>
            </c:ext>
          </c:extLst>
        </c:ser>
        <c:dLbls>
          <c:showLegendKey val="0"/>
          <c:showVal val="0"/>
          <c:showCatName val="0"/>
          <c:showSerName val="0"/>
          <c:showPercent val="0"/>
          <c:showBubbleSize val="0"/>
        </c:dLbls>
        <c:gapWidth val="219"/>
        <c:overlap val="-27"/>
        <c:axId val="2059581343"/>
        <c:axId val="2059580863"/>
      </c:barChart>
      <c:catAx>
        <c:axId val="205958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80863"/>
        <c:crosses val="autoZero"/>
        <c:auto val="1"/>
        <c:lblAlgn val="ctr"/>
        <c:lblOffset val="100"/>
        <c:noMultiLvlLbl val="0"/>
      </c:catAx>
      <c:valAx>
        <c:axId val="205958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8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6">
          <a:lumMod val="20000"/>
          <a:lumOff val="80000"/>
          <a:alpha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[current_project.xlsx]Pivot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50000"/>
                  </a:schemeClr>
                </a:solidFill>
              </a:rPr>
              <a:t>Monthly</a:t>
            </a:r>
            <a:r>
              <a:rPr lang="en-US" baseline="0">
                <a:solidFill>
                  <a:schemeClr val="accent3">
                    <a:lumMod val="50000"/>
                  </a:schemeClr>
                </a:solidFill>
              </a:rPr>
              <a:t> Sales Trend</a:t>
            </a:r>
          </a:p>
          <a:p>
            <a:pPr>
              <a:defRPr/>
            </a:pPr>
            <a:endParaRPr lang="en-US"/>
          </a:p>
        </c:rich>
      </c:tx>
      <c:layout>
        <c:manualLayout>
          <c:xMode val="edge"/>
          <c:yMode val="edge"/>
          <c:x val="0.28618497482896604"/>
          <c:y val="2.0061186619188529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4084591885031"/>
          <c:y val="0.22688909507330693"/>
          <c:w val="0.62622489475467646"/>
          <c:h val="0.54687993336626284"/>
        </c:manualLayout>
      </c:layout>
      <c:lineChart>
        <c:grouping val="standard"/>
        <c:varyColors val="0"/>
        <c:ser>
          <c:idx val="0"/>
          <c:order val="0"/>
          <c:tx>
            <c:strRef>
              <c:f>'Pivot Tables'!$G$16:$G$17</c:f>
              <c:strCache>
                <c:ptCount val="1"/>
                <c:pt idx="0">
                  <c:v>2024</c:v>
                </c:pt>
              </c:strCache>
            </c:strRef>
          </c:tx>
          <c:spPr>
            <a:ln w="28575" cap="rnd">
              <a:solidFill>
                <a:schemeClr val="accent1"/>
              </a:solidFill>
              <a:round/>
            </a:ln>
            <a:effectLst/>
          </c:spPr>
          <c:marker>
            <c:symbol val="none"/>
          </c:marker>
          <c:cat>
            <c:strRef>
              <c:f>'Pivot Tables'!$F$18:$F$24</c:f>
              <c:strCache>
                <c:ptCount val="6"/>
                <c:pt idx="0">
                  <c:v>Jan</c:v>
                </c:pt>
                <c:pt idx="1">
                  <c:v>Feb</c:v>
                </c:pt>
                <c:pt idx="2">
                  <c:v>Mar</c:v>
                </c:pt>
                <c:pt idx="3">
                  <c:v>Apr</c:v>
                </c:pt>
                <c:pt idx="4">
                  <c:v>May</c:v>
                </c:pt>
                <c:pt idx="5">
                  <c:v>Jun</c:v>
                </c:pt>
              </c:strCache>
            </c:strRef>
          </c:cat>
          <c:val>
            <c:numRef>
              <c:f>'Pivot Tables'!$G$18:$G$24</c:f>
              <c:numCache>
                <c:formatCode>General</c:formatCode>
                <c:ptCount val="6"/>
                <c:pt idx="3">
                  <c:v>165</c:v>
                </c:pt>
                <c:pt idx="4">
                  <c:v>175</c:v>
                </c:pt>
                <c:pt idx="5">
                  <c:v>60</c:v>
                </c:pt>
              </c:numCache>
            </c:numRef>
          </c:val>
          <c:smooth val="0"/>
          <c:extLst>
            <c:ext xmlns:c16="http://schemas.microsoft.com/office/drawing/2014/chart" uri="{C3380CC4-5D6E-409C-BE32-E72D297353CC}">
              <c16:uniqueId val="{00000000-F204-441A-AC74-961EEFFC5D3A}"/>
            </c:ext>
          </c:extLst>
        </c:ser>
        <c:ser>
          <c:idx val="1"/>
          <c:order val="1"/>
          <c:tx>
            <c:strRef>
              <c:f>'Pivot Tables'!$H$16:$H$17</c:f>
              <c:strCache>
                <c:ptCount val="1"/>
                <c:pt idx="0">
                  <c:v>2025</c:v>
                </c:pt>
              </c:strCache>
            </c:strRef>
          </c:tx>
          <c:spPr>
            <a:ln w="28575" cap="rnd">
              <a:solidFill>
                <a:schemeClr val="accent2"/>
              </a:solidFill>
              <a:round/>
            </a:ln>
            <a:effectLst/>
          </c:spPr>
          <c:marker>
            <c:symbol val="none"/>
          </c:marker>
          <c:cat>
            <c:strRef>
              <c:f>'Pivot Tables'!$F$18:$F$24</c:f>
              <c:strCache>
                <c:ptCount val="6"/>
                <c:pt idx="0">
                  <c:v>Jan</c:v>
                </c:pt>
                <c:pt idx="1">
                  <c:v>Feb</c:v>
                </c:pt>
                <c:pt idx="2">
                  <c:v>Mar</c:v>
                </c:pt>
                <c:pt idx="3">
                  <c:v>Apr</c:v>
                </c:pt>
                <c:pt idx="4">
                  <c:v>May</c:v>
                </c:pt>
                <c:pt idx="5">
                  <c:v>Jun</c:v>
                </c:pt>
              </c:strCache>
            </c:strRef>
          </c:cat>
          <c:val>
            <c:numRef>
              <c:f>'Pivot Tables'!$H$18:$H$24</c:f>
              <c:numCache>
                <c:formatCode>General</c:formatCode>
                <c:ptCount val="6"/>
                <c:pt idx="0">
                  <c:v>105</c:v>
                </c:pt>
                <c:pt idx="1">
                  <c:v>195</c:v>
                </c:pt>
                <c:pt idx="2">
                  <c:v>80</c:v>
                </c:pt>
              </c:numCache>
            </c:numRef>
          </c:val>
          <c:smooth val="0"/>
          <c:extLst>
            <c:ext xmlns:c16="http://schemas.microsoft.com/office/drawing/2014/chart" uri="{C3380CC4-5D6E-409C-BE32-E72D297353CC}">
              <c16:uniqueId val="{00000001-F204-441A-AC74-961EEFFC5D3A}"/>
            </c:ext>
          </c:extLst>
        </c:ser>
        <c:dLbls>
          <c:showLegendKey val="0"/>
          <c:showVal val="0"/>
          <c:showCatName val="0"/>
          <c:showSerName val="0"/>
          <c:showPercent val="0"/>
          <c:showBubbleSize val="0"/>
        </c:dLbls>
        <c:smooth val="0"/>
        <c:axId val="2021118575"/>
        <c:axId val="2021119535"/>
      </c:lineChart>
      <c:catAx>
        <c:axId val="20211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19535"/>
        <c:crosses val="autoZero"/>
        <c:auto val="1"/>
        <c:lblAlgn val="ctr"/>
        <c:lblOffset val="100"/>
        <c:noMultiLvlLbl val="0"/>
      </c:catAx>
      <c:valAx>
        <c:axId val="20211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7620</xdr:colOff>
      <xdr:row>16</xdr:row>
      <xdr:rowOff>76200</xdr:rowOff>
    </xdr:from>
    <xdr:to>
      <xdr:col>13</xdr:col>
      <xdr:colOff>388620</xdr:colOff>
      <xdr:row>27</xdr:row>
      <xdr:rowOff>129540</xdr:rowOff>
    </xdr:to>
    <xdr:graphicFrame macro="">
      <xdr:nvGraphicFramePr>
        <xdr:cNvPr id="2" name="Chart 1">
          <a:extLst>
            <a:ext uri="{FF2B5EF4-FFF2-40B4-BE49-F238E27FC236}">
              <a16:creationId xmlns:a16="http://schemas.microsoft.com/office/drawing/2014/main" id="{5730CBC4-DF29-4EAA-8981-B6A56C7E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144780</xdr:rowOff>
    </xdr:from>
    <xdr:to>
      <xdr:col>13</xdr:col>
      <xdr:colOff>335280</xdr:colOff>
      <xdr:row>15</xdr:row>
      <xdr:rowOff>76200</xdr:rowOff>
    </xdr:to>
    <xdr:graphicFrame macro="">
      <xdr:nvGraphicFramePr>
        <xdr:cNvPr id="3" name="Chart 2">
          <a:extLst>
            <a:ext uri="{FF2B5EF4-FFF2-40B4-BE49-F238E27FC236}">
              <a16:creationId xmlns:a16="http://schemas.microsoft.com/office/drawing/2014/main" id="{A50D13AD-01A2-44C4-AEF5-D6C030120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4</xdr:row>
      <xdr:rowOff>144780</xdr:rowOff>
    </xdr:from>
    <xdr:to>
      <xdr:col>6</xdr:col>
      <xdr:colOff>30480</xdr:colOff>
      <xdr:row>15</xdr:row>
      <xdr:rowOff>68580</xdr:rowOff>
    </xdr:to>
    <xdr:graphicFrame macro="">
      <xdr:nvGraphicFramePr>
        <xdr:cNvPr id="5" name="Chart 4">
          <a:extLst>
            <a:ext uri="{FF2B5EF4-FFF2-40B4-BE49-F238E27FC236}">
              <a16:creationId xmlns:a16="http://schemas.microsoft.com/office/drawing/2014/main" id="{65C4C518-3613-4BA0-A469-00E01D927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20</xdr:row>
      <xdr:rowOff>0</xdr:rowOff>
    </xdr:from>
    <xdr:to>
      <xdr:col>5</xdr:col>
      <xdr:colOff>259080</xdr:colOff>
      <xdr:row>25</xdr:row>
      <xdr:rowOff>121919</xdr:rowOff>
    </xdr:to>
    <mc:AlternateContent xmlns:mc="http://schemas.openxmlformats.org/markup-compatibility/2006" xmlns:a14="http://schemas.microsoft.com/office/drawing/2010/main">
      <mc:Choice Requires="a14">
        <xdr:graphicFrame macro="">
          <xdr:nvGraphicFramePr>
            <xdr:cNvPr id="6" name="OrderStatus">
              <a:extLst>
                <a:ext uri="{FF2B5EF4-FFF2-40B4-BE49-F238E27FC236}">
                  <a16:creationId xmlns:a16="http://schemas.microsoft.com/office/drawing/2014/main" id="{73147A55-18EE-45F9-B5AC-4B24D94F3DBE}"/>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828800" y="3657600"/>
              <a:ext cx="147828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16</xdr:row>
      <xdr:rowOff>106680</xdr:rowOff>
    </xdr:from>
    <xdr:to>
      <xdr:col>6</xdr:col>
      <xdr:colOff>38100</xdr:colOff>
      <xdr:row>27</xdr:row>
      <xdr:rowOff>144780</xdr:rowOff>
    </xdr:to>
    <xdr:graphicFrame macro="">
      <xdr:nvGraphicFramePr>
        <xdr:cNvPr id="7" name="Chart 6">
          <a:extLst>
            <a:ext uri="{FF2B5EF4-FFF2-40B4-BE49-F238E27FC236}">
              <a16:creationId xmlns:a16="http://schemas.microsoft.com/office/drawing/2014/main" id="{527BA3C7-4CAC-47AE-B785-A6727FA71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236220</xdr:colOff>
      <xdr:row>1</xdr:row>
      <xdr:rowOff>0</xdr:rowOff>
    </xdr:from>
    <xdr:to>
      <xdr:col>17</xdr:col>
      <xdr:colOff>213360</xdr:colOff>
      <xdr:row>6</xdr:row>
      <xdr:rowOff>160020</xdr:rowOff>
    </xdr:to>
    <mc:AlternateContent xmlns:mc="http://schemas.openxmlformats.org/markup-compatibility/2006" xmlns:a14="http://schemas.microsoft.com/office/drawing/2010/main">
      <mc:Choice Requires="a14">
        <xdr:graphicFrame macro="">
          <xdr:nvGraphicFramePr>
            <xdr:cNvPr id="8" name="OrderStatus 1">
              <a:extLst>
                <a:ext uri="{FF2B5EF4-FFF2-40B4-BE49-F238E27FC236}">
                  <a16:creationId xmlns:a16="http://schemas.microsoft.com/office/drawing/2014/main" id="{C84A99FE-9A02-443D-AEEA-1DFD906B2534}"/>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8770620" y="182880"/>
              <a:ext cx="1805940"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gya Sri" refreshedDate="46195.680433912035" createdVersion="8" refreshedVersion="8" minRefreshableVersion="3" recordCount="20" xr:uid="{F3E37A1F-629A-40F8-B7D8-FD19A0398212}">
  <cacheSource type="worksheet">
    <worksheetSource name="Orders__2"/>
  </cacheSource>
  <cacheFields count="24">
    <cacheField name="OrderID" numFmtId="0">
      <sharedItems containsSemiMixedTypes="0" containsString="0" containsNumber="1" containsInteger="1" minValue="1" maxValue="10"/>
    </cacheField>
    <cacheField name="ProductID" numFmtId="0">
      <sharedItems containsSemiMixedTypes="0" containsString="0" containsNumber="1" containsInteger="1" minValue="101" maxValue="105"/>
    </cacheField>
    <cacheField name="Product" numFmtId="0">
      <sharedItems count="4">
        <s v="Bottle"/>
        <s v="Tire"/>
        <s v="Gloves"/>
        <s v="Caps"/>
      </sharedItems>
    </cacheField>
    <cacheField name="Category" numFmtId="0">
      <sharedItems count="2">
        <s v="Accessories"/>
        <s v="Clothing"/>
      </sharedItems>
    </cacheField>
    <cacheField name="Price" numFmtId="0">
      <sharedItems containsSemiMixedTypes="0" containsString="0" containsNumber="1" containsInteger="1" minValue="10" maxValue="30"/>
    </cacheField>
    <cacheField name="CustomerID" numFmtId="0">
      <sharedItems containsSemiMixedTypes="0" containsString="0" containsNumber="1" containsInteger="1" minValue="1" maxValue="4"/>
    </cacheField>
    <cacheField name="CustomerName" numFmtId="0">
      <sharedItems/>
    </cacheField>
    <cacheField name="Country" numFmtId="0">
      <sharedItems count="2">
        <s v="USA"/>
        <s v="Germany"/>
      </sharedItems>
    </cacheField>
    <cacheField name="SalesPersonID" numFmtId="0">
      <sharedItems containsSemiMixedTypes="0" containsString="0" containsNumber="1" containsInteger="1" minValue="1" maxValue="5"/>
    </cacheField>
    <cacheField name="SalesPersonName" numFmtId="0">
      <sharedItems count="4">
        <s v="Mary"/>
        <s v="Michael Ray"/>
        <s v="Carol Baker"/>
        <s v="Frank Lee"/>
      </sharedItems>
    </cacheField>
    <cacheField name="Department" numFmtId="0">
      <sharedItems/>
    </cacheField>
    <cacheField name="OrderDate" numFmtId="14">
      <sharedItems containsSemiMixedTypes="0" containsNonDate="0" containsDate="1" containsString="0" minDate="2024-04-01T00:00:00" maxDate="2025-03-16T00:00:00" count="17">
        <d v="2024-04-01T00:00:00"/>
        <d v="2025-01-01T00:00:00"/>
        <d v="2024-04-05T00:00:00"/>
        <d v="2025-01-05T00:00:00"/>
        <d v="2024-04-10T00:00:00"/>
        <d v="2025-01-10T00:00:00"/>
        <d v="2024-04-20T00:00:00"/>
        <d v="2025-01-20T00:00:00"/>
        <d v="2024-05-01T00:00:00"/>
        <d v="2025-02-01T00:00:00"/>
        <d v="2024-05-05T00:00:00"/>
        <d v="2025-02-05T00:00:00"/>
        <d v="2024-06-15T00:00:00"/>
        <d v="2025-02-15T00:00:00"/>
        <d v="2025-02-18T00:00:00"/>
        <d v="2025-03-10T00:00:00"/>
        <d v="2025-03-15T00:00:00"/>
      </sharedItems>
      <fieldGroup par="23"/>
    </cacheField>
    <cacheField name="ShipDate" numFmtId="14">
      <sharedItems containsSemiMixedTypes="0" containsNonDate="0" containsDate="1" containsString="0" minDate="2024-04-05T00:00:00" maxDate="2025-03-21T00:00:00"/>
    </cacheField>
    <cacheField name="OrderStatus" numFmtId="0">
      <sharedItems count="2">
        <s v="Shipped"/>
        <s v="Delivered"/>
      </sharedItems>
    </cacheField>
    <cacheField name="ShipAddress" numFmtId="0">
      <sharedItems/>
    </cacheField>
    <cacheField name="BillAddress" numFmtId="0">
      <sharedItems/>
    </cacheField>
    <cacheField name="Quantity" numFmtId="0">
      <sharedItems containsSemiMixedTypes="0" containsString="0" containsNumber="1" containsInteger="1" minValue="0" maxValue="3"/>
    </cacheField>
    <cacheField name="CalcRevenue" numFmtId="0">
      <sharedItems containsSemiMixedTypes="0" containsString="0" containsNumber="1" containsInteger="1" minValue="0" maxValue="60"/>
    </cacheField>
    <cacheField name="Sales" numFmtId="0">
      <sharedItems containsSemiMixedTypes="0" containsString="0" containsNumber="1" containsInteger="1" minValue="10" maxValue="90"/>
    </cacheField>
    <cacheField name="Shipping days" numFmtId="0">
      <sharedItems containsSemiMixedTypes="0" containsString="0" containsNumber="1" containsInteger="1" minValue="4" maxValue="15"/>
    </cacheField>
    <cacheField name="Order Year" numFmtId="0">
      <sharedItems containsSemiMixedTypes="0" containsString="0" containsNumber="1" containsInteger="1" minValue="2024" maxValue="2025" count="2">
        <n v="2024"/>
        <n v="2025"/>
      </sharedItems>
    </cacheField>
    <cacheField name="Months (OrderDate)" numFmtId="0" databaseField="0">
      <fieldGroup base="11">
        <rangePr groupBy="months" startDate="2024-04-01T00:00:00" endDate="2025-03-16T00:00:00"/>
        <groupItems count="14">
          <s v="&lt;4/1/2024"/>
          <s v="Jan"/>
          <s v="Feb"/>
          <s v="Mar"/>
          <s v="Apr"/>
          <s v="May"/>
          <s v="Jun"/>
          <s v="Jul"/>
          <s v="Aug"/>
          <s v="Sep"/>
          <s v="Oct"/>
          <s v="Nov"/>
          <s v="Dec"/>
          <s v="&gt;3/16/2025"/>
        </groupItems>
      </fieldGroup>
    </cacheField>
    <cacheField name="Quarters (OrderDate)" numFmtId="0" databaseField="0">
      <fieldGroup base="11">
        <rangePr groupBy="quarters" startDate="2024-04-01T00:00:00" endDate="2025-03-16T00:00:00"/>
        <groupItems count="6">
          <s v="&lt;4/1/2024"/>
          <s v="Qtr1"/>
          <s v="Qtr2"/>
          <s v="Qtr3"/>
          <s v="Qtr4"/>
          <s v="&gt;3/16/2025"/>
        </groupItems>
      </fieldGroup>
    </cacheField>
    <cacheField name="Years (OrderDate)" numFmtId="0" databaseField="0">
      <fieldGroup base="11">
        <rangePr groupBy="years" startDate="2024-04-01T00:00:00" endDate="2025-03-16T00:00:00"/>
        <groupItems count="4">
          <s v="&lt;4/1/2024"/>
          <s v="2024"/>
          <s v="2025"/>
          <s v="&gt;3/16/2025"/>
        </groupItems>
      </fieldGroup>
    </cacheField>
  </cacheFields>
  <extLst>
    <ext xmlns:x14="http://schemas.microsoft.com/office/spreadsheetml/2009/9/main" uri="{725AE2AE-9491-48be-B2B4-4EB974FC3084}">
      <x14:pivotCacheDefinition pivotCacheId="112042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01"/>
    <x v="0"/>
    <x v="0"/>
    <n v="10"/>
    <n v="2"/>
    <s v="Kevin Brown"/>
    <x v="0"/>
    <n v="3"/>
    <x v="0"/>
    <s v="Sales"/>
    <x v="0"/>
    <d v="2024-04-05T00:00:00"/>
    <x v="0"/>
    <s v="123 Main St"/>
    <s v="456 Billing St"/>
    <n v="1"/>
    <n v="10"/>
    <n v="10"/>
    <n v="4"/>
    <x v="0"/>
  </r>
  <r>
    <n v="1"/>
    <n v="101"/>
    <x v="0"/>
    <x v="0"/>
    <n v="10"/>
    <n v="2"/>
    <s v="Kevin Brown"/>
    <x v="0"/>
    <n v="3"/>
    <x v="0"/>
    <s v="Sales"/>
    <x v="1"/>
    <d v="2025-01-05T00:00:00"/>
    <x v="1"/>
    <s v="9833 Mt. Dias Blv."/>
    <s v="1226 Shoe St."/>
    <n v="1"/>
    <n v="10"/>
    <n v="10"/>
    <n v="4"/>
    <x v="1"/>
  </r>
  <r>
    <n v="2"/>
    <n v="102"/>
    <x v="1"/>
    <x v="0"/>
    <n v="15"/>
    <n v="3"/>
    <s v="Mary"/>
    <x v="0"/>
    <n v="3"/>
    <x v="0"/>
    <s v="Sales"/>
    <x v="2"/>
    <d v="2024-04-10T00:00:00"/>
    <x v="0"/>
    <s v="456 Elm St"/>
    <s v="789 Billing St"/>
    <n v="1"/>
    <n v="15"/>
    <n v="15"/>
    <n v="5"/>
    <x v="0"/>
  </r>
  <r>
    <n v="2"/>
    <n v="102"/>
    <x v="1"/>
    <x v="0"/>
    <n v="15"/>
    <n v="3"/>
    <s v="Mary"/>
    <x v="0"/>
    <n v="3"/>
    <x v="0"/>
    <s v="Sales"/>
    <x v="3"/>
    <d v="2025-01-10T00:00:00"/>
    <x v="0"/>
    <s v="250 Race Court"/>
    <s v="Not Available"/>
    <n v="1"/>
    <n v="15"/>
    <n v="15"/>
    <n v="5"/>
    <x v="1"/>
  </r>
  <r>
    <n v="3"/>
    <n v="101"/>
    <x v="0"/>
    <x v="0"/>
    <n v="10"/>
    <n v="1"/>
    <s v="Jossef Goldberg"/>
    <x v="1"/>
    <n v="4"/>
    <x v="1"/>
    <s v="Sales"/>
    <x v="4"/>
    <d v="2024-04-25T00:00:00"/>
    <x v="0"/>
    <s v="789 Maple St"/>
    <s v="789 Maple St"/>
    <n v="2"/>
    <n v="20"/>
    <n v="20"/>
    <n v="15"/>
    <x v="0"/>
  </r>
  <r>
    <n v="3"/>
    <n v="101"/>
    <x v="0"/>
    <x v="0"/>
    <n v="10"/>
    <n v="1"/>
    <s v="Jossef Goldberg"/>
    <x v="1"/>
    <n v="5"/>
    <x v="2"/>
    <s v="Sales"/>
    <x v="5"/>
    <d v="2025-01-25T00:00:00"/>
    <x v="1"/>
    <s v="8157 W. Book"/>
    <s v="8157 W. Book"/>
    <n v="2"/>
    <n v="20"/>
    <n v="20"/>
    <n v="15"/>
    <x v="1"/>
  </r>
  <r>
    <n v="4"/>
    <n v="105"/>
    <x v="2"/>
    <x v="1"/>
    <n v="30"/>
    <n v="1"/>
    <s v="Jossef Goldberg"/>
    <x v="1"/>
    <n v="3"/>
    <x v="0"/>
    <s v="Sales"/>
    <x v="6"/>
    <d v="2024-04-25T00:00:00"/>
    <x v="0"/>
    <s v="987 Victory Lane"/>
    <s v="Not Available"/>
    <n v="2"/>
    <n v="60"/>
    <n v="60"/>
    <n v="5"/>
    <x v="0"/>
  </r>
  <r>
    <n v="4"/>
    <n v="105"/>
    <x v="2"/>
    <x v="1"/>
    <n v="30"/>
    <n v="1"/>
    <s v="Jossef Goldberg"/>
    <x v="1"/>
    <n v="3"/>
    <x v="0"/>
    <s v="Sales"/>
    <x v="6"/>
    <d v="2024-04-25T00:00:00"/>
    <x v="1"/>
    <s v="987 Victory Lane"/>
    <s v="Not Available"/>
    <n v="2"/>
    <n v="60"/>
    <n v="60"/>
    <n v="5"/>
    <x v="0"/>
  </r>
  <r>
    <n v="4"/>
    <n v="105"/>
    <x v="2"/>
    <x v="1"/>
    <n v="30"/>
    <n v="1"/>
    <s v="Jossef Goldberg"/>
    <x v="1"/>
    <n v="3"/>
    <x v="0"/>
    <s v="Sales"/>
    <x v="7"/>
    <d v="2025-01-25T00:00:00"/>
    <x v="0"/>
    <s v="5724 Victory Lane"/>
    <s v="Not Available"/>
    <n v="2"/>
    <n v="60"/>
    <n v="60"/>
    <n v="5"/>
    <x v="1"/>
  </r>
  <r>
    <n v="5"/>
    <n v="104"/>
    <x v="3"/>
    <x v="1"/>
    <n v="25"/>
    <n v="2"/>
    <s v="Kevin Brown"/>
    <x v="0"/>
    <n v="5"/>
    <x v="2"/>
    <s v="Sales"/>
    <x v="8"/>
    <d v="2024-05-05T00:00:00"/>
    <x v="0"/>
    <s v="345 Oak St"/>
    <s v="678 Pine St"/>
    <n v="1"/>
    <n v="25"/>
    <n v="25"/>
    <n v="4"/>
    <x v="0"/>
  </r>
  <r>
    <n v="5"/>
    <n v="104"/>
    <x v="3"/>
    <x v="1"/>
    <n v="25"/>
    <n v="2"/>
    <s v="Kevin Brown"/>
    <x v="0"/>
    <n v="5"/>
    <x v="2"/>
    <s v="Sales"/>
    <x v="9"/>
    <d v="2025-02-05T00:00:00"/>
    <x v="1"/>
    <s v="Not Available"/>
    <s v="Not Available"/>
    <n v="1"/>
    <n v="25"/>
    <n v="25"/>
    <n v="4"/>
    <x v="1"/>
  </r>
  <r>
    <n v="6"/>
    <n v="104"/>
    <x v="3"/>
    <x v="1"/>
    <n v="25"/>
    <n v="3"/>
    <s v="Mary"/>
    <x v="0"/>
    <n v="5"/>
    <x v="2"/>
    <s v="Sales"/>
    <x v="10"/>
    <d v="2024-05-10T00:00:00"/>
    <x v="1"/>
    <s v="543 Belmont Rd."/>
    <s v="Not Available"/>
    <n v="2"/>
    <n v="50"/>
    <n v="50"/>
    <n v="5"/>
    <x v="0"/>
  </r>
  <r>
    <n v="6"/>
    <n v="104"/>
    <x v="3"/>
    <x v="1"/>
    <n v="25"/>
    <n v="3"/>
    <s v="Mary"/>
    <x v="0"/>
    <n v="5"/>
    <x v="2"/>
    <s v="Sales"/>
    <x v="10"/>
    <d v="2024-05-10T00:00:00"/>
    <x v="1"/>
    <s v="543 Belmont Rd."/>
    <s v="3768 Door Way"/>
    <n v="2"/>
    <n v="50"/>
    <n v="50"/>
    <n v="5"/>
    <x v="0"/>
  </r>
  <r>
    <n v="6"/>
    <n v="101"/>
    <x v="0"/>
    <x v="0"/>
    <n v="10"/>
    <n v="3"/>
    <s v="Mary"/>
    <x v="0"/>
    <n v="5"/>
    <x v="2"/>
    <s v="Sales"/>
    <x v="10"/>
    <d v="2024-05-10T00:00:00"/>
    <x v="1"/>
    <s v="543 Belmont Rd."/>
    <s v="3768 Door Way"/>
    <n v="2"/>
    <n v="20"/>
    <n v="50"/>
    <n v="5"/>
    <x v="0"/>
  </r>
  <r>
    <n v="6"/>
    <n v="104"/>
    <x v="3"/>
    <x v="1"/>
    <n v="25"/>
    <n v="3"/>
    <s v="Mary"/>
    <x v="0"/>
    <n v="5"/>
    <x v="2"/>
    <s v="Sales"/>
    <x v="11"/>
    <d v="2025-02-10T00:00:00"/>
    <x v="1"/>
    <s v="1792 Belmont Rd."/>
    <s v="Not Available"/>
    <n v="2"/>
    <n v="50"/>
    <n v="50"/>
    <n v="5"/>
    <x v="1"/>
  </r>
  <r>
    <n v="7"/>
    <n v="102"/>
    <x v="1"/>
    <x v="0"/>
    <n v="15"/>
    <n v="3"/>
    <s v="Mary"/>
    <x v="0"/>
    <n v="5"/>
    <x v="2"/>
    <s v="Sales"/>
    <x v="12"/>
    <d v="2024-06-20T00:00:00"/>
    <x v="0"/>
    <s v="111 Main St"/>
    <s v="222 Billing St"/>
    <n v="0"/>
    <n v="0"/>
    <n v="60"/>
    <n v="5"/>
    <x v="0"/>
  </r>
  <r>
    <n v="7"/>
    <n v="102"/>
    <x v="1"/>
    <x v="0"/>
    <n v="15"/>
    <n v="1"/>
    <s v="Jossef Goldberg"/>
    <x v="1"/>
    <n v="1"/>
    <x v="3"/>
    <s v="Marketing"/>
    <x v="13"/>
    <d v="2025-02-27T00:00:00"/>
    <x v="1"/>
    <s v="136 Balboa Court"/>
    <s v="Not Available"/>
    <n v="2"/>
    <n v="30"/>
    <n v="30"/>
    <n v="12"/>
    <x v="1"/>
  </r>
  <r>
    <n v="8"/>
    <n v="101"/>
    <x v="0"/>
    <x v="0"/>
    <n v="10"/>
    <n v="4"/>
    <s v="Mark Schwarz"/>
    <x v="1"/>
    <n v="3"/>
    <x v="0"/>
    <s v="Sales"/>
    <x v="14"/>
    <d v="2025-02-27T00:00:00"/>
    <x v="0"/>
    <s v="2947 Vine Lane"/>
    <s v="4311 Clay Rd"/>
    <n v="3"/>
    <n v="30"/>
    <n v="90"/>
    <n v="9"/>
    <x v="1"/>
  </r>
  <r>
    <n v="9"/>
    <n v="101"/>
    <x v="0"/>
    <x v="0"/>
    <n v="10"/>
    <n v="2"/>
    <s v="Kevin Brown"/>
    <x v="0"/>
    <n v="3"/>
    <x v="0"/>
    <s v="Sales"/>
    <x v="15"/>
    <d v="2025-03-15T00:00:00"/>
    <x v="0"/>
    <s v="3768 Door Way"/>
    <s v="Not Available"/>
    <n v="2"/>
    <n v="20"/>
    <n v="20"/>
    <n v="5"/>
    <x v="1"/>
  </r>
  <r>
    <n v="10"/>
    <n v="102"/>
    <x v="1"/>
    <x v="0"/>
    <n v="15"/>
    <n v="3"/>
    <s v="Mary"/>
    <x v="0"/>
    <n v="5"/>
    <x v="2"/>
    <s v="Sales"/>
    <x v="16"/>
    <d v="2025-03-20T00:00:00"/>
    <x v="0"/>
    <s v="Not Available"/>
    <s v="Not Available"/>
    <n v="0"/>
    <n v="0"/>
    <n v="60"/>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EC77E-C816-48AC-A099-052DE6CF51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olHeaderCaption="Order Year">
  <location ref="F16:I24" firstHeaderRow="1" firstDataRow="2" firstDataCol="1"/>
  <pivotFields count="24">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dataField="1" showAll="0"/>
    <pivotField showAll="0"/>
    <pivotField axis="axisCol"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7">
    <i>
      <x v="1"/>
    </i>
    <i>
      <x v="2"/>
    </i>
    <i>
      <x v="3"/>
    </i>
    <i>
      <x v="4"/>
    </i>
    <i>
      <x v="5"/>
    </i>
    <i>
      <x v="6"/>
    </i>
    <i t="grand">
      <x/>
    </i>
  </rowItems>
  <colFields count="1">
    <field x="20"/>
  </colFields>
  <colItems count="3">
    <i>
      <x/>
    </i>
    <i>
      <x v="1"/>
    </i>
    <i t="grand">
      <x/>
    </i>
  </colItems>
  <dataFields count="1">
    <dataField name="Sum of Sales" fld="18"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2B131-7DC1-4C63-BF0D-576521863E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K12:L17" firstHeaderRow="1" firstDataRow="1" firstDataCol="1"/>
  <pivotFields count="24">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5">
        <item x="2"/>
        <item x="3"/>
        <item x="0"/>
        <item x="1"/>
        <item t="default"/>
      </items>
    </pivotField>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Average of Shipping days" fld="19" subtotal="average" baseField="9" baseItem="0"/>
  </dataFields>
  <formats count="1">
    <format dxfId="35">
      <pivotArea collapsedLevelsAreSubtotals="1" fieldPosition="0">
        <references count="1">
          <reference field="9" count="0"/>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DB86FE-D190-47A4-A266-160FF7F03B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olHeaderCaption="Order Year">
  <location ref="F3:I9" firstHeaderRow="1" firstDataRow="2" firstDataCol="1"/>
  <pivotFields count="24">
    <pivotField showAll="0"/>
    <pivotField showAll="0"/>
    <pivotField axis="axisRow"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dataField="1" showAll="0"/>
    <pivotField showAll="0"/>
    <pivotField axis="axisCol"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Fields count="1">
    <field x="20"/>
  </colFields>
  <colItems count="3">
    <i>
      <x/>
    </i>
    <i>
      <x v="1"/>
    </i>
    <i t="grand">
      <x/>
    </i>
  </colItems>
  <dataFields count="1">
    <dataField name="Sum of Sales" fld="18" baseField="0" baseItem="0"/>
  </dataFields>
  <chartFormats count="2">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AC1E4-03B8-4588-8134-37117B66CC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C12:D17" firstHeaderRow="1" firstDataRow="1" firstDataCol="1"/>
  <pivotFields count="24">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5">
        <item x="2"/>
        <item x="3"/>
        <item x="0"/>
        <item x="1"/>
        <item t="default"/>
      </items>
    </pivotField>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Sale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BC5B7-12FF-43EF-8F45-E2EAD5A479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K3:L6" firstHeaderRow="1" firstDataRow="1" firstDataCol="1"/>
  <pivotFields count="24">
    <pivotField showAll="0"/>
    <pivotField showAll="0"/>
    <pivotField showAll="0"/>
    <pivotField showAll="0">
      <items count="3">
        <item x="0"/>
        <item x="1"/>
        <item t="default"/>
      </items>
    </pivotField>
    <pivotField showAll="0"/>
    <pivotField showAll="0"/>
    <pivotField showAll="0"/>
    <pivotField axis="axisRow" showAll="0">
      <items count="3">
        <item x="1"/>
        <item x="0"/>
        <item t="default"/>
      </items>
    </pivotField>
    <pivotField showAll="0"/>
    <pivotField showAll="0"/>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3">
    <i>
      <x/>
    </i>
    <i>
      <x v="1"/>
    </i>
    <i t="grand">
      <x/>
    </i>
  </rowItems>
  <colItems count="1">
    <i/>
  </colItems>
  <dataFields count="1">
    <dataField name="Sum of Sales" fld="18"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63DB65-FBB5-4125-83F6-EC6F812246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C3:D6" firstHeaderRow="1" firstDataRow="1" firstDataCol="1"/>
  <pivotFields count="24">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numFmtId="14" showAll="0">
      <items count="18">
        <item x="0"/>
        <item x="2"/>
        <item x="4"/>
        <item x="6"/>
        <item x="8"/>
        <item x="10"/>
        <item x="12"/>
        <item x="1"/>
        <item x="3"/>
        <item x="5"/>
        <item x="7"/>
        <item x="9"/>
        <item x="11"/>
        <item x="13"/>
        <item x="14"/>
        <item x="15"/>
        <item x="16"/>
        <item t="default"/>
      </items>
    </pivotField>
    <pivotField numFmtId="14" showAll="0"/>
    <pivotField showAll="0">
      <items count="3">
        <item x="1"/>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Sale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A724CA-138B-4814-9C71-63A14EC73F8F}" autoFormatId="16" applyNumberFormats="0" applyBorderFormats="0" applyFontFormats="0" applyPatternFormats="0" applyAlignmentFormats="0" applyWidthHeightFormats="0">
  <queryTableRefresh nextId="13" unboundColumnsRight="6">
    <queryTableFields count="11">
      <queryTableField id="1" name="CustomerID" tableColumnId="1"/>
      <queryTableField id="2" name="FirstName" tableColumnId="2"/>
      <queryTableField id="3" name="LastName" tableColumnId="3"/>
      <queryTableField id="4" name="Country" tableColumnId="4"/>
      <queryTableField id="5" name="Score" tableColumnId="5"/>
      <queryTableField id="6" dataBound="0" tableColumnId="6"/>
      <queryTableField id="7" dataBound="0" tableColumnId="7"/>
      <queryTableField id="8" dataBound="0" tableColumnId="8"/>
      <queryTableField id="9" dataBound="0" tableColumnId="9"/>
      <queryTableField id="11" dataBound="0" tableColumnId="11"/>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80D8C79-4A70-48B9-826A-007DD6351A1C}" autoFormatId="16" applyNumberFormats="0" applyBorderFormats="0" applyFontFormats="0" applyPatternFormats="0" applyAlignmentFormats="0" applyWidthHeightFormats="0">
  <queryTableRefresh nextId="10" unboundColumnsRight="1">
    <queryTableFields count="9">
      <queryTableField id="1" name="EmployeeID" tableColumnId="1"/>
      <queryTableField id="2" name="FirstName" tableColumnId="2"/>
      <queryTableField id="3" name="LastName" tableColumnId="3"/>
      <queryTableField id="4" name="Department" tableColumnId="4"/>
      <queryTableField id="5" name="BirthDate" tableColumnId="5"/>
      <queryTableField id="6" name="Gender" tableColumnId="6"/>
      <queryTableField id="7" name="Salary" tableColumnId="7"/>
      <queryTableField id="8" name="ManagerID"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82BDAA50-E0CD-40E4-B2A9-AD90DBF11433}" autoFormatId="16" applyNumberFormats="0" applyBorderFormats="0" applyFontFormats="0" applyPatternFormats="0" applyAlignmentFormats="0" applyWidthHeightFormats="0">
  <queryTableRefresh nextId="25" unboundColumnsRight="2">
    <queryTableFields count="21">
      <queryTableField id="1" name="OrderID" tableColumnId="1"/>
      <queryTableField id="2" name="ProductID" tableColumnId="2"/>
      <queryTableField id="14" dataBound="0" tableColumnId="14"/>
      <queryTableField id="15" dataBound="0" tableColumnId="15"/>
      <queryTableField id="16" dataBound="0" tableColumnId="16"/>
      <queryTableField id="3" name="CustomerID" tableColumnId="3"/>
      <queryTableField id="13" dataBound="0" tableColumnId="13"/>
      <queryTableField id="19" dataBound="0" tableColumnId="19"/>
      <queryTableField id="4" name="SalesPersonID" tableColumnId="4"/>
      <queryTableField id="18" dataBound="0" tableColumnId="18"/>
      <queryTableField id="20" dataBound="0" tableColumnId="20"/>
      <queryTableField id="5" name="OrderDate" tableColumnId="5"/>
      <queryTableField id="6" name="ShipDate" tableColumnId="6"/>
      <queryTableField id="7" name="OrderStatus" tableColumnId="7"/>
      <queryTableField id="8" name="ShipAddress" tableColumnId="8"/>
      <queryTableField id="9" name="BillAddress" tableColumnId="9"/>
      <queryTableField id="10" name="Quantity" tableColumnId="10"/>
      <queryTableField id="24" dataBound="0" tableColumnId="21"/>
      <queryTableField id="11" name="Sales" tableColumnId="11"/>
      <queryTableField id="22" dataBound="0" tableColumnId="12"/>
      <queryTableField id="23" dataBound="0" tableColumnId="17"/>
    </queryTableFields>
    <queryTableDeletedFields count="2">
      <deletedField name="CreationTime"/>
      <deletedField name="CreationTim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352693E4-7207-4A88-8425-5CF5E859CC7B}" autoFormatId="16" applyNumberFormats="0" applyBorderFormats="0" applyFontFormats="0" applyPatternFormats="0" applyAlignmentFormats="0" applyWidthHeightFormats="0">
  <queryTableRefresh nextId="5">
    <queryTableFields count="4">
      <queryTableField id="1" name="ProductID" tableColumnId="1"/>
      <queryTableField id="2" name="Product" tableColumnId="2"/>
      <queryTableField id="3" name="Category" tableColumnId="3"/>
      <queryTableField id="4" name="Pric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C9F2AFD0-4161-4C6C-B6A3-ECCC0CFD5AD6}" autoFormatId="16" applyNumberFormats="0" applyBorderFormats="0" applyFontFormats="0" applyPatternFormats="0" applyAlignmentFormats="0" applyWidthHeightFormats="0">
  <queryTableRefresh nextId="13">
    <queryTableFields count="12">
      <queryTableField id="1" name="OrderID" tableColumnId="1"/>
      <queryTableField id="2" name="ProductID" tableColumnId="2"/>
      <queryTableField id="3" name="CustomerID" tableColumnId="3"/>
      <queryTableField id="4" name="SalesPersonID" tableColumnId="4"/>
      <queryTableField id="5" name="OrderDate" tableColumnId="5"/>
      <queryTableField id="6" name="ShipDate" tableColumnId="6"/>
      <queryTableField id="7" name="OrderStatus" tableColumnId="7"/>
      <queryTableField id="8" name="ShipAddress" tableColumnId="8"/>
      <queryTableField id="9" name="BillAddress" tableColumnId="9"/>
      <queryTableField id="10" name="Quantity" tableColumnId="10"/>
      <queryTableField id="11" name="Sales" tableColumnId="11"/>
      <queryTableField id="12" name="CreationTime"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E4E1329D-1A37-4F43-A3AC-31F01129500B}" autoFormatId="16" applyNumberFormats="0" applyBorderFormats="0" applyFontFormats="0" applyPatternFormats="0" applyAlignmentFormats="0" applyWidthHeightFormats="0">
  <queryTableRefresh nextId="13">
    <queryTableFields count="12">
      <queryTableField id="1" name="OrderID" tableColumnId="1"/>
      <queryTableField id="2" name="ProductID" tableColumnId="2"/>
      <queryTableField id="3" name="CustomerID" tableColumnId="3"/>
      <queryTableField id="4" name="SalesPersonID" tableColumnId="4"/>
      <queryTableField id="5" name="OrderDate" tableColumnId="5"/>
      <queryTableField id="6" name="ShipDate" tableColumnId="6"/>
      <queryTableField id="7" name="OrderStatus" tableColumnId="7"/>
      <queryTableField id="8" name="ShipAddress" tableColumnId="8"/>
      <queryTableField id="9" name="BillAddress" tableColumnId="9"/>
      <queryTableField id="10" name="Quantity" tableColumnId="10"/>
      <queryTableField id="11" name="Sales" tableColumnId="11"/>
      <queryTableField id="12" name="CreationTi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3BE2A3ED-B2D3-48EC-A290-3B45B8107938}" sourceName="OrderStatus">
  <pivotTables>
    <pivotTable tabId="11" name="PivotTable3"/>
    <pivotTable tabId="11" name="PivotTable1"/>
    <pivotTable tabId="11" name="PivotTable2"/>
    <pivotTable tabId="11" name="PivotTable4"/>
    <pivotTable tabId="11" name="PivotTable5"/>
    <pivotTable tabId="11" name="PivotTable6"/>
  </pivotTables>
  <data>
    <tabular pivotCacheId="11204242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70709336-8112-409B-AB8B-08B456F33F98}" cache="Slicer_OrderStatus" caption="OrderStatus" style="SlicerStyleLight3" rowHeight="247650"/>
  <slicer name="OrderStatus 1" xr10:uid="{17DB07C6-6681-466E-94AE-515B23005B4A}" cache="Slicer_OrderStatus" caption="OrderStatus"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4F89A-5ACD-4A69-ACF5-3FCBAB87B6BE}" name="Customers" displayName="Customers" ref="A1:K6" tableType="queryTable" totalsRowShown="0">
  <autoFilter ref="A1:K6" xr:uid="{E0B4F89A-5ACD-4A69-ACF5-3FCBAB87B6BE}"/>
  <tableColumns count="11">
    <tableColumn id="1" xr3:uid="{976E6037-4169-449D-B6C9-28FD7605582D}" uniqueName="1" name="CustomerID" queryTableFieldId="1"/>
    <tableColumn id="2" xr3:uid="{7FA4849C-EC2C-4A42-923B-CE87F0A96519}" uniqueName="2" name="FirstName" queryTableFieldId="2" dataDxfId="50"/>
    <tableColumn id="3" xr3:uid="{40869F5F-1925-400B-AB10-C6C83AD4E5B0}" uniqueName="3" name="LastName" queryTableFieldId="3" dataDxfId="49"/>
    <tableColumn id="4" xr3:uid="{D8493F0B-D77E-42B2-8A08-756425F73B36}" uniqueName="4" name="Country" queryTableFieldId="4" dataDxfId="48"/>
    <tableColumn id="5" xr3:uid="{09CCBB86-DB5A-43CD-BBFD-FD64E526EB1D}" uniqueName="5" name="Score" queryTableFieldId="5"/>
    <tableColumn id="6" xr3:uid="{06A4FE8E-2263-4EF0-914A-4361E117C889}" uniqueName="6" name="FullName" queryTableFieldId="6" dataDxfId="47">
      <calculatedColumnFormula>TRIM(PROPER(Customers[[#This Row],[FirstName]]&amp;" "&amp;Customers[[#This Row],[LastName]]))</calculatedColumnFormula>
    </tableColumn>
    <tableColumn id="7" xr3:uid="{872E02E2-9964-427F-90CA-5DDC2012522C}" uniqueName="7" name="CustomerTier" queryTableFieldId="7" dataDxfId="46">
      <calculatedColumnFormula array="1">_xlfn.IFS(Customers[[#This Row],[Score]]&gt;750,"Best",Customers[[#This Row],[Score]]&gt;500,"Good",Customers[[#This Row],[Score]]&gt;250,"Average",TRUE,"Low")</calculatedColumnFormula>
    </tableColumn>
    <tableColumn id="8" xr3:uid="{9AE9C5C4-31D4-4DFF-AA2D-5D95A2ADE189}" uniqueName="8" name="Length of full name" queryTableFieldId="8" dataDxfId="45">
      <calculatedColumnFormula>LEN(Customers[[#This Row],[FullName]])</calculatedColumnFormula>
    </tableColumn>
    <tableColumn id="9" xr3:uid="{E346F9A9-54A9-4A9A-81E7-8F7C2CEA8D50}" uniqueName="9" name="First_name_Extracted" queryTableFieldId="9" dataDxfId="44">
      <calculatedColumnFormula>IFERROR(LEFT(Customers[[#This Row],[FullName]],FIND(" ",Customers[[#This Row],[FullName]])),Customers[[#This Row],[FullName]])</calculatedColumnFormula>
    </tableColumn>
    <tableColumn id="11" xr3:uid="{3BB26BBE-1D11-4B22-ABA1-A72F8DCD80FA}" uniqueName="11" name="LastName_extracted" queryTableFieldId="11" dataDxfId="43">
      <calculatedColumnFormula>IFERROR(MID(Customers[[#This Row],[FullName]],FIND(" ",Customers[[#This Row],[FullName]])+1,LEN(Customers[[#This Row],[FullName]])),Customers[[#This Row],[FullName]])</calculatedColumnFormula>
    </tableColumn>
    <tableColumn id="10" xr3:uid="{8FD6AD9F-C574-4D3B-BBC8-444E674C851A}" uniqueName="10" name="Is Text_check" queryTableFieldId="10" dataDxfId="42">
      <calculatedColumnFormula>ISTEXT(Customers[[#This Row],[FullName]])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0FFAF-0BFA-4DC7-ABA5-5BC53945735E}" name="Employees" displayName="Employees" ref="A1:I6" tableType="queryTable" totalsRowShown="0">
  <autoFilter ref="A1:I6" xr:uid="{46E0FFAF-0BFA-4DC7-ABA5-5BC53945735E}"/>
  <tableColumns count="9">
    <tableColumn id="1" xr3:uid="{FD02D1B0-11C6-4E2C-99E0-033E8A14B3A4}" uniqueName="1" name="EmployeeID" queryTableFieldId="1"/>
    <tableColumn id="2" xr3:uid="{1A4751FD-D3C6-421E-91CE-08F65471AC6B}" uniqueName="2" name="FirstName" queryTableFieldId="2" dataDxfId="41"/>
    <tableColumn id="3" xr3:uid="{AD5A37F7-9BFB-431B-ACF3-52E1050DF2F3}" uniqueName="3" name="LastName" queryTableFieldId="3" dataDxfId="40"/>
    <tableColumn id="4" xr3:uid="{3F1A7EF5-EB22-4275-843B-6A2530E5E3AD}" uniqueName="4" name="Department" queryTableFieldId="4" dataDxfId="39"/>
    <tableColumn id="5" xr3:uid="{F558D832-A9E4-4E2A-8BB2-1A7723E46965}" uniqueName="5" name="BirthDate" queryTableFieldId="5" dataDxfId="38"/>
    <tableColumn id="6" xr3:uid="{C9AFE3DD-8134-4713-8529-E2E7BE75FFD8}" uniqueName="6" name="Gender" queryTableFieldId="6" dataDxfId="37"/>
    <tableColumn id="7" xr3:uid="{FD357077-BA35-4A9E-B7CD-6000C4B77029}" uniqueName="7" name="Salary" queryTableFieldId="7"/>
    <tableColumn id="8" xr3:uid="{BC4317B7-781B-40A2-920D-1A453864E4D1}" uniqueName="8" name="ManagerID" queryTableFieldId="8"/>
    <tableColumn id="9" xr3:uid="{3640C9C5-DAEB-4837-B519-6F3E6B972C52}" uniqueName="9" name="FullName" queryTableFieldId="9" dataDxfId="36">
      <calculatedColumnFormula>TRIM(PROPER(_xlfn.TEXTJOIN(" ",TRUE,Employees[[#This Row],[FirstName]],Employees[[#This Row],[LastName]])))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576689-B282-4BF0-BF0D-981350344954}" name="Table7" displayName="Table7" ref="L1:M9" totalsRowShown="0">
  <autoFilter ref="L1:M9" xr:uid="{BA576689-B282-4BF0-BF0D-981350344954}"/>
  <tableColumns count="2">
    <tableColumn id="1" xr3:uid="{450F86DC-FEBB-4BC7-91EB-BFDF39EB7984}" name="Function"/>
    <tableColumn id="2" xr3:uid="{1169DE69-668E-4F86-9462-85FD54920AB2}" name="Valu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6F6DBA-BA3C-4EED-A72A-D573E5D86DC8}" name="Orders__2" displayName="Orders__2" ref="A1:U21" tableType="queryTable" totalsRowShown="0">
  <autoFilter ref="A1:U21" xr:uid="{606F6DBA-BA3C-4EED-A72A-D573E5D86DC8}"/>
  <sortState xmlns:xlrd2="http://schemas.microsoft.com/office/spreadsheetml/2017/richdata2" ref="A2:U21">
    <sortCondition ref="A2:A21"/>
    <sortCondition ref="U2:U21"/>
  </sortState>
  <tableColumns count="21">
    <tableColumn id="1" xr3:uid="{A88E2282-5DDC-43FA-B34F-B9BB62B6A8B8}" uniqueName="1" name="OrderID" queryTableFieldId="1"/>
    <tableColumn id="2" xr3:uid="{230331D1-3363-4FB5-8CFE-87863CCC8FFE}" uniqueName="2" name="ProductID" queryTableFieldId="2"/>
    <tableColumn id="14" xr3:uid="{98D7EDF4-482B-4A41-BB61-6FF4CEFE645B}" uniqueName="14" name="Product" queryTableFieldId="14" dataDxfId="65">
      <calculatedColumnFormula>VLOOKUP(Orders__2[[#This Row],[ProductID]],Products[[ProductID]:[Product]],2,0)</calculatedColumnFormula>
    </tableColumn>
    <tableColumn id="15" xr3:uid="{F130D4B5-1742-4E43-ADBC-6D11B8836419}" uniqueName="15" name="Category" queryTableFieldId="15" dataDxfId="64">
      <calculatedColumnFormula>INDEX(Products[Category],MATCH(Orders__2[[#This Row],[ProductID]],Products[ProductID]))</calculatedColumnFormula>
    </tableColumn>
    <tableColumn id="16" xr3:uid="{5E599C34-4991-415C-B5F5-449E3349ED15}" uniqueName="16" name="Price" queryTableFieldId="16" dataDxfId="63">
      <calculatedColumnFormula>_xlfn.XLOOKUP(Orders__2[[#This Row],[ProductID]],Products[ProductID],Products[Price],"not found",0)</calculatedColumnFormula>
    </tableColumn>
    <tableColumn id="3" xr3:uid="{E0501AED-1A08-4583-BDA5-BB09C779790E}" uniqueName="3" name="CustomerID" queryTableFieldId="3"/>
    <tableColumn id="13" xr3:uid="{0F31E613-C6AA-4AFA-B824-A22239B8731C}" uniqueName="13" name="CustomerName" queryTableFieldId="13" dataDxfId="62">
      <calculatedColumnFormula>VLOOKUP(Orders__2[[#This Row],[CustomerID]],Customers[[#All],[CustomerID]:[FullName]],6,FALSE)</calculatedColumnFormula>
    </tableColumn>
    <tableColumn id="19" xr3:uid="{03C79893-A5D2-4ECA-A4A8-CA17C49A4EBF}" uniqueName="19" name="Country" queryTableFieldId="19" dataDxfId="61">
      <calculatedColumnFormula>INDEX(Customers[Country],MATCH(Orders__2[[#This Row],[CustomerID]],Customers[CustomerID],0))</calculatedColumnFormula>
    </tableColumn>
    <tableColumn id="4" xr3:uid="{EE19135B-A2EC-43F8-BBE7-9EAE44E65DFD}" uniqueName="4" name="SalesPersonID" queryTableFieldId="4"/>
    <tableColumn id="18" xr3:uid="{A7B56D89-D1C6-4FC0-B345-9D9B28976D5E}" uniqueName="18" name="SalesPersonName" queryTableFieldId="18" dataDxfId="60">
      <calculatedColumnFormula>_xlfn.XLOOKUP(Orders__2[[#This Row],[SalesPersonID]],Employees[EmployeeID],Employees[FullName],"not found",0)</calculatedColumnFormula>
    </tableColumn>
    <tableColumn id="20" xr3:uid="{314F4865-E451-4216-9240-763482C26A56}" uniqueName="20" name="Department" queryTableFieldId="20" dataDxfId="59">
      <calculatedColumnFormula>_xlfn.XLOOKUP(Orders__2[[#This Row],[SalesPersonID]],Employees[EmployeeID],Employees[Department],"not found",0)</calculatedColumnFormula>
    </tableColumn>
    <tableColumn id="5" xr3:uid="{B02F1DDD-126B-4143-9126-C58A18547A17}" uniqueName="5" name="OrderDate" queryTableFieldId="5" dataDxfId="58"/>
    <tableColumn id="6" xr3:uid="{F630E6AF-7E13-409E-834E-8B6B2EF427F5}" uniqueName="6" name="ShipDate" queryTableFieldId="6" dataDxfId="57"/>
    <tableColumn id="7" xr3:uid="{A3E02F03-C519-4EF0-8EAC-7F29B6830429}" uniqueName="7" name="OrderStatus" queryTableFieldId="7" dataDxfId="56"/>
    <tableColumn id="8" xr3:uid="{15CAF106-A1B3-4B42-9A3E-946870967D01}" uniqueName="8" name="ShipAddress" queryTableFieldId="8" dataDxfId="55"/>
    <tableColumn id="9" xr3:uid="{EE2CC786-5484-4539-80B9-17B9D8979CDD}" uniqueName="9" name="BillAddress" queryTableFieldId="9" dataDxfId="54"/>
    <tableColumn id="10" xr3:uid="{4887145C-ABBD-4AB3-8584-CF21F5170B15}" uniqueName="10" name="Quantity" queryTableFieldId="10"/>
    <tableColumn id="21" xr3:uid="{B004BA5A-A088-45B4-82CE-23E6A8361E5E}" uniqueName="21" name="CalcRevenue" queryTableFieldId="24" dataDxfId="53">
      <calculatedColumnFormula>Orders__2[[#This Row],[Price]]*Orders__2[[#This Row],[Quantity]]</calculatedColumnFormula>
    </tableColumn>
    <tableColumn id="11" xr3:uid="{4E868B60-A0C1-49FB-96CA-F7284FF8BAF1}" uniqueName="11" name="Sales" queryTableFieldId="11"/>
    <tableColumn id="12" xr3:uid="{57BDC005-37F3-48AD-914B-B8AEFCBA6914}" uniqueName="12" name="Shipping days" queryTableFieldId="22" dataDxfId="52">
      <calculatedColumnFormula>_xlfn.DAYS(Orders__2[[#This Row],[ShipDate]],Orders__2[[#This Row],[OrderDate]])</calculatedColumnFormula>
    </tableColumn>
    <tableColumn id="17" xr3:uid="{696FBED1-B4E0-463A-93C9-CB743123A958}" uniqueName="17" name="Order Year" queryTableFieldId="23" dataDxfId="51">
      <calculatedColumnFormula>YEAR(Orders__2[[#This Row],[OrderDate]])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BEDE21-F9FD-4306-AA99-C92274445D58}" name="Table9" displayName="Table9" ref="A1:R21" totalsRowShown="0" tableBorderDxfId="34">
  <autoFilter ref="A1:R21" xr:uid="{EFBEDE21-F9FD-4306-AA99-C92274445D58}"/>
  <tableColumns count="18">
    <tableColumn id="1" xr3:uid="{09DEB991-1ABD-4955-A5AE-16F1E64B8952}" name="CreationTime" dataDxfId="33"/>
    <tableColumn id="3" xr3:uid="{59EA25A3-C354-4809-A8AF-4C35BEB24594}" name="Month">
      <calculatedColumnFormula>MONTH(A2)</calculatedColumnFormula>
    </tableColumn>
    <tableColumn id="4" xr3:uid="{07087925-4469-4D27-851D-363ADBAD5E2E}" name="MonthName">
      <calculatedColumnFormula>TEXT(A2,"mmm")</calculatedColumnFormula>
    </tableColumn>
    <tableColumn id="5" xr3:uid="{DE89B611-00E9-49F1-B6C1-0766641487F4}" name="Day">
      <calculatedColumnFormula>DAY(A2)</calculatedColumnFormula>
    </tableColumn>
    <tableColumn id="6" xr3:uid="{6B5FD5A6-0C70-4C32-BEB5-B520B61F5CD6}" name="WeekdayName">
      <calculatedColumnFormula>TEXT(A2,"ddd")</calculatedColumnFormula>
    </tableColumn>
    <tableColumn id="12" xr3:uid="{6ECAD555-B64F-44F2-A6DD-0B73BCD09B67}" name="Week day" dataDxfId="32">
      <calculatedColumnFormula>WEEKDAY(Table9[[#This Row],[CreationTime]],2)</calculatedColumnFormula>
    </tableColumn>
    <tableColumn id="2" xr3:uid="{732D3A1D-508B-4421-9C71-46EED5229BBA}" name="Year" dataDxfId="31">
      <calculatedColumnFormula>YEAR(Table9[[#This Row],[CreationTime]])</calculatedColumnFormula>
    </tableColumn>
    <tableColumn id="13" xr3:uid="{1E4B17AA-AB74-49C1-B233-2FF81D4EF3F5}" name="Date" dataDxfId="30">
      <calculatedColumnFormula>DATE(Table9[[#This Row],[Year]],Table9[[#This Row],[Month]],Table9[[#This Row],[Day]])</calculatedColumnFormula>
    </tableColumn>
    <tableColumn id="7" xr3:uid="{94E5C0BB-FEB5-42EB-9D98-0324F517F420}" name="Hour" dataDxfId="29">
      <calculatedColumnFormula>HOUR(Table9[[#This Row],[CreationTime]])</calculatedColumnFormula>
    </tableColumn>
    <tableColumn id="8" xr3:uid="{C551213E-9C93-4B23-83BC-989E2CA6AA8C}" name="Minute" dataDxfId="28">
      <calculatedColumnFormula>MINUTE(Table9[[#This Row],[CreationTime]])</calculatedColumnFormula>
    </tableColumn>
    <tableColumn id="10" xr3:uid="{5264DDEB-EFB6-4316-9FCC-6006E82B76DC}" name="Seconds" dataDxfId="27">
      <calculatedColumnFormula>SECOND(Table9[[#This Row],[CreationTime]])</calculatedColumnFormula>
    </tableColumn>
    <tableColumn id="9" xr3:uid="{BA68F86A-40CB-43E2-B67B-9D5A9B7A45C9}" name="Time" dataDxfId="26">
      <calculatedColumnFormula>TIME(Table9[[#This Row],[Hour]],Table9[[#This Row],[Minute]],Table9[[#This Row],[Seconds]])</calculatedColumnFormula>
    </tableColumn>
    <tableColumn id="14" xr3:uid="{D9B48571-00A2-49EA-AC4A-F54EB58C3DFB}" name="EOMonth" dataDxfId="25">
      <calculatedColumnFormula>EOMONTH(Table9[[#This Row],[Date]],0)</calculatedColumnFormula>
    </tableColumn>
    <tableColumn id="15" xr3:uid="{A7512B22-9946-4959-8F7E-DA2E52E4947F}" name="Edate" dataDxfId="24">
      <calculatedColumnFormula>EDATE(Table9[[#This Row],[Date]],1)</calculatedColumnFormula>
    </tableColumn>
    <tableColumn id="16" xr3:uid="{F5077645-8309-4DC5-A128-C281ABB656E6}" name="Network Days" dataDxfId="23">
      <calculatedColumnFormula>NETWORKDAYS(Table9[[#This Row],[Date]],Table9[[#This Row],[EOMonth]])</calculatedColumnFormula>
    </tableColumn>
    <tableColumn id="17" xr3:uid="{DD79D5BE-7B56-4F94-A33B-F6A7E15350CE}" name="workdays" dataDxfId="22">
      <calculatedColumnFormula>WORKDAY(Table9[[#This Row],[Date]],Table9[[#This Row],[Network Days]]-1)</calculatedColumnFormula>
    </tableColumn>
    <tableColumn id="18" xr3:uid="{2B81AEFD-7E89-4211-B83E-EA4431D10CD5}" name="Days" dataDxfId="21">
      <calculatedColumnFormula>_xlfn.DAYS(Table9[[#This Row],[EOMonth]],Table9[[#This Row],[Date]])</calculatedColumnFormula>
    </tableColumn>
    <tableColumn id="19" xr3:uid="{89AC3027-B242-4AC8-95F1-B7C2F059BBE4}" name="YearFrac" dataDxfId="20">
      <calculatedColumnFormula>YEARFRAC(Table9[[#This Row],[Date]],$V$2,3)</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C0C41B-F1C1-44FF-A766-CFA8D10A9F40}" name="Table8" displayName="Table8" ref="U1:V3" totalsRowShown="0">
  <autoFilter ref="U1:V3" xr:uid="{61C0C41B-F1C1-44FF-A766-CFA8D10A9F40}"/>
  <tableColumns count="2">
    <tableColumn id="1" xr3:uid="{7B715189-EF97-46E1-8179-446C2A4A9F2F}" name="Functions "/>
    <tableColumn id="2" xr3:uid="{8356FB10-CEF0-4F63-BDB2-BC30A3B71C44}" name="Value">
      <calculatedColumnFormula>NOW()</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D996EF-6806-4723-A832-563ABDEA33B7}" name="Products" displayName="Products" ref="A1:D6" tableType="queryTable" totalsRowShown="0">
  <autoFilter ref="A1:D6" xr:uid="{48D996EF-6806-4723-A832-563ABDEA33B7}"/>
  <tableColumns count="4">
    <tableColumn id="1" xr3:uid="{AAB28E38-5F1D-4E56-9450-4ABFAD2B4C91}" uniqueName="1" name="ProductID" queryTableFieldId="1"/>
    <tableColumn id="2" xr3:uid="{9833FB2D-3EDA-48B9-8321-531514B12C8C}" uniqueName="2" name="Product" queryTableFieldId="2" dataDxfId="19"/>
    <tableColumn id="3" xr3:uid="{EAFF9984-D2E4-45BF-9666-DADECFB83171}" uniqueName="3" name="Category" queryTableFieldId="3" dataDxfId="18"/>
    <tableColumn id="4" xr3:uid="{D89D5D85-A726-4F8B-A305-2DE03110F8FD}" uniqueName="4" name="Price"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FB7502-F75E-4DE1-8F4B-100001F6486C}" name="Orders" displayName="Orders" ref="A1:L11" tableType="queryTable" totalsRowShown="0">
  <autoFilter ref="A1:L11" xr:uid="{92FB7502-F75E-4DE1-8F4B-100001F6486C}"/>
  <tableColumns count="12">
    <tableColumn id="1" xr3:uid="{6E257B33-BA85-4D62-BD82-05BEA96AA423}" uniqueName="1" name="OrderID" queryTableFieldId="1"/>
    <tableColumn id="2" xr3:uid="{1AFDCCC5-1B00-4768-B6C4-9D2DED05D0EE}" uniqueName="2" name="ProductID" queryTableFieldId="2"/>
    <tableColumn id="3" xr3:uid="{3C46A45A-6CC5-4645-BF57-837E6FE6BD98}" uniqueName="3" name="CustomerID" queryTableFieldId="3"/>
    <tableColumn id="4" xr3:uid="{1FD170AA-F86E-466F-B1F7-A9CA0E7D7788}" uniqueName="4" name="SalesPersonID" queryTableFieldId="4"/>
    <tableColumn id="5" xr3:uid="{C962EB0E-DE08-49F0-9D2B-A349889ED203}" uniqueName="5" name="OrderDate" queryTableFieldId="5" dataDxfId="17"/>
    <tableColumn id="6" xr3:uid="{AB19832D-DB4B-4848-A6C1-9438C0A559E8}" uniqueName="6" name="ShipDate" queryTableFieldId="6" dataDxfId="16"/>
    <tableColumn id="7" xr3:uid="{6E5C83F2-3FF4-4D46-9097-D3DAD46B7E0B}" uniqueName="7" name="OrderStatus" queryTableFieldId="7" dataDxfId="15"/>
    <tableColumn id="8" xr3:uid="{B651A16D-4023-4A6A-8A7A-FD17EEA4BAA3}" uniqueName="8" name="ShipAddress" queryTableFieldId="8" dataDxfId="14"/>
    <tableColumn id="9" xr3:uid="{9682B47D-9200-43AE-A106-4B4B674D02D7}" uniqueName="9" name="BillAddress" queryTableFieldId="9" dataDxfId="13"/>
    <tableColumn id="10" xr3:uid="{64AF7E52-BBBE-4400-8453-0EA7464C3262}" uniqueName="10" name="Quantity" queryTableFieldId="10"/>
    <tableColumn id="11" xr3:uid="{8A505535-4D59-4B2C-9EA2-9F7EC7ACADD9}" uniqueName="11" name="Sales" queryTableFieldId="11"/>
    <tableColumn id="12" xr3:uid="{903886CC-8BC3-4A29-B3AB-BE94B0186299}" uniqueName="12" name="CreationTime" queryTableFieldId="12" dataDxfId="1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C5A192-D14D-48D9-A02A-A09BF5732B51}" name="OrdersArchive" displayName="OrdersArchive" ref="A1:L11" tableType="queryTable" totalsRowShown="0">
  <autoFilter ref="A1:L11" xr:uid="{14C5A192-D14D-48D9-A02A-A09BF5732B51}"/>
  <tableColumns count="12">
    <tableColumn id="1" xr3:uid="{2F0A796B-81B7-4431-8344-79EA7769E7B9}" uniqueName="1" name="OrderID" queryTableFieldId="1"/>
    <tableColumn id="2" xr3:uid="{82BA4326-A7A7-4C0B-BAFF-C74E6B0AD034}" uniqueName="2" name="ProductID" queryTableFieldId="2"/>
    <tableColumn id="3" xr3:uid="{9970308B-8D17-439C-AD62-08AB8AFF2503}" uniqueName="3" name="CustomerID" queryTableFieldId="3"/>
    <tableColumn id="4" xr3:uid="{D62355A3-EFE2-4135-990E-E26E97E4F629}" uniqueName="4" name="SalesPersonID" queryTableFieldId="4"/>
    <tableColumn id="5" xr3:uid="{9FE39A40-8F8E-458A-BAFD-B4576B67698F}" uniqueName="5" name="OrderDate" queryTableFieldId="5" dataDxfId="11"/>
    <tableColumn id="6" xr3:uid="{F9832702-764D-4E36-9FE0-721CDF1E30AF}" uniqueName="6" name="ShipDate" queryTableFieldId="6" dataDxfId="10"/>
    <tableColumn id="7" xr3:uid="{C3AA5AB0-A7C2-474F-88CC-889B63AC9797}" uniqueName="7" name="OrderStatus" queryTableFieldId="7" dataDxfId="9"/>
    <tableColumn id="8" xr3:uid="{9EC72E8B-B596-465D-89DF-3A1404089707}" uniqueName="8" name="ShipAddress" queryTableFieldId="8" dataDxfId="8"/>
    <tableColumn id="9" xr3:uid="{9858B3A6-CE82-4B26-A23B-8FFF6583CC7C}" uniqueName="9" name="BillAddress" queryTableFieldId="9" dataDxfId="7"/>
    <tableColumn id="10" xr3:uid="{1E0F216E-4DB5-42B6-8C4C-D170EB9DC293}" uniqueName="10" name="Quantity" queryTableFieldId="10"/>
    <tableColumn id="11" xr3:uid="{07236B86-1E9B-4E58-A054-A097571877ED}" uniqueName="11" name="Sales" queryTableFieldId="11"/>
    <tableColumn id="12" xr3:uid="{DA397393-A2F4-4385-B8DD-647DC4CCC313}" uniqueName="12" name="CreationTime" queryTableFieldId="1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13F3-1952-4F4C-B520-9827B4C67FE8}">
  <sheetPr>
    <tabColor rgb="FF92D050"/>
  </sheetPr>
  <dimension ref="A1:P22"/>
  <sheetViews>
    <sheetView showGridLines="0" workbookViewId="0">
      <selection activeCell="A12" sqref="A12:K12"/>
    </sheetView>
  </sheetViews>
  <sheetFormatPr defaultRowHeight="14.4" x14ac:dyDescent="0.3"/>
  <cols>
    <col min="1" max="1" width="13.109375" bestFit="1" customWidth="1"/>
    <col min="2" max="2" width="12" bestFit="1" customWidth="1"/>
    <col min="3" max="3" width="11.6640625" bestFit="1" customWidth="1"/>
    <col min="4" max="4" width="9.6640625" bestFit="1" customWidth="1"/>
    <col min="5" max="5" width="8" bestFit="1" customWidth="1"/>
    <col min="6" max="6" width="15.44140625" customWidth="1"/>
    <col min="7" max="7" width="14.44140625" bestFit="1" customWidth="1"/>
    <col min="8" max="8" width="15.109375" customWidth="1"/>
    <col min="9" max="10" width="17.109375" customWidth="1"/>
  </cols>
  <sheetData>
    <row r="1" spans="1:16" ht="24" customHeight="1" x14ac:dyDescent="0.3">
      <c r="A1" t="s">
        <v>0</v>
      </c>
      <c r="B1" t="s">
        <v>1</v>
      </c>
      <c r="C1" t="s">
        <v>2</v>
      </c>
      <c r="D1" t="s">
        <v>3</v>
      </c>
      <c r="E1" t="s">
        <v>4</v>
      </c>
      <c r="F1" t="s">
        <v>76</v>
      </c>
      <c r="G1" t="s">
        <v>77</v>
      </c>
      <c r="H1" s="8" t="s">
        <v>85</v>
      </c>
      <c r="I1" t="s">
        <v>86</v>
      </c>
      <c r="J1" t="s">
        <v>87</v>
      </c>
      <c r="K1" t="s">
        <v>88</v>
      </c>
    </row>
    <row r="2" spans="1:16" x14ac:dyDescent="0.3">
      <c r="A2">
        <v>1</v>
      </c>
      <c r="B2" t="s">
        <v>5</v>
      </c>
      <c r="C2" t="s">
        <v>6</v>
      </c>
      <c r="D2" t="s">
        <v>7</v>
      </c>
      <c r="E2">
        <v>350</v>
      </c>
      <c r="F2" t="str">
        <f>TRIM(PROPER(Customers[[#This Row],[FirstName]]&amp;" "&amp;Customers[[#This Row],[LastName]]))</f>
        <v>Jossef Goldberg</v>
      </c>
      <c r="G2" t="str" cm="1">
        <f t="array" ref="G2">_xlfn.IFS(Customers[[#This Row],[Score]]&gt;750,"Best",Customers[[#This Row],[Score]]&gt;500,"Good",Customers[[#This Row],[Score]]&gt;250,"Average",TRUE,"Low")</f>
        <v>Average</v>
      </c>
      <c r="H2">
        <f>LEN(Customers[[#This Row],[FullName]])</f>
        <v>15</v>
      </c>
      <c r="I2" t="str">
        <f>IFERROR(LEFT(Customers[[#This Row],[FullName]],FIND(" ",Customers[[#This Row],[FullName]])),Customers[[#This Row],[FullName]])</f>
        <v xml:space="preserve">Jossef </v>
      </c>
      <c r="J2" t="str">
        <f>IFERROR(MID(Customers[[#This Row],[FullName]],FIND(" ",Customers[[#This Row],[FullName]])+1,LEN(Customers[[#This Row],[FullName]])),Customers[[#This Row],[FullName]])</f>
        <v>Goldberg</v>
      </c>
      <c r="K2" t="b">
        <f>ISTEXT(Customers[[#This Row],[FullName]])</f>
        <v>1</v>
      </c>
    </row>
    <row r="3" spans="1:16" x14ac:dyDescent="0.3">
      <c r="A3">
        <v>2</v>
      </c>
      <c r="B3" t="s">
        <v>8</v>
      </c>
      <c r="C3" t="s">
        <v>9</v>
      </c>
      <c r="D3" t="s">
        <v>10</v>
      </c>
      <c r="E3">
        <v>900</v>
      </c>
      <c r="F3" t="str">
        <f>TRIM(PROPER(Customers[[#This Row],[FirstName]]&amp;" "&amp;Customers[[#This Row],[LastName]]))</f>
        <v>Kevin Brown</v>
      </c>
      <c r="G3" t="str" cm="1">
        <f t="array" ref="G3">_xlfn.IFS(Customers[[#This Row],[Score]]&gt;750,"Best",Customers[[#This Row],[Score]]&gt;500,"Good",Customers[[#This Row],[Score]]&gt;250,"Average",TRUE,"Low")</f>
        <v>Best</v>
      </c>
      <c r="H3">
        <f>LEN(Customers[[#This Row],[FullName]])</f>
        <v>11</v>
      </c>
      <c r="I3" t="str">
        <f>IFERROR(LEFT(Customers[[#This Row],[FullName]],FIND(" ",Customers[[#This Row],[FullName]])),Customers[[#This Row],[FullName]])</f>
        <v xml:space="preserve">Kevin </v>
      </c>
      <c r="J3" t="str">
        <f>IFERROR(MID(Customers[[#This Row],[FullName]],FIND(" ",Customers[[#This Row],[FullName]])+1,LEN(Customers[[#This Row],[FullName]])),Customers[[#This Row],[FullName]])</f>
        <v>Brown</v>
      </c>
      <c r="K3" s="7" t="b">
        <f>ISTEXT(Customers[[#This Row],[FullName]])</f>
        <v>1</v>
      </c>
      <c r="L3" s="7"/>
      <c r="M3" s="7"/>
      <c r="N3" s="7"/>
      <c r="O3" s="7"/>
      <c r="P3" s="7"/>
    </row>
    <row r="4" spans="1:16" x14ac:dyDescent="0.3">
      <c r="A4">
        <v>3</v>
      </c>
      <c r="B4" t="s">
        <v>11</v>
      </c>
      <c r="C4" t="s">
        <v>12</v>
      </c>
      <c r="D4" t="s">
        <v>10</v>
      </c>
      <c r="E4">
        <v>750</v>
      </c>
      <c r="F4" t="str">
        <f>TRIM(PROPER(Customers[[#This Row],[FirstName]]&amp;" "&amp;Customers[[#This Row],[LastName]]))</f>
        <v>Mary</v>
      </c>
      <c r="G4" t="str" cm="1">
        <f t="array" ref="G4">_xlfn.IFS(Customers[[#This Row],[Score]]&gt;750,"Best",Customers[[#This Row],[Score]]&gt;500,"Good",Customers[[#This Row],[Score]]&gt;250,"Average",TRUE,"Low")</f>
        <v>Good</v>
      </c>
      <c r="H4">
        <f>LEN(Customers[[#This Row],[FullName]])</f>
        <v>4</v>
      </c>
      <c r="I4" t="str">
        <f>IFERROR(LEFT(Customers[[#This Row],[FullName]],FIND(" ",Customers[[#This Row],[FullName]])),Customers[[#This Row],[FullName]])</f>
        <v>Mary</v>
      </c>
      <c r="J4" t="str">
        <f>IFERROR(MID(Customers[[#This Row],[FullName]],FIND(" ",Customers[[#This Row],[FullName]])+1,LEN(Customers[[#This Row],[FullName]])),Customers[[#This Row],[FullName]])</f>
        <v>Mary</v>
      </c>
      <c r="K4" s="7" t="b">
        <f>ISTEXT(Customers[[#This Row],[FullName]])</f>
        <v>1</v>
      </c>
      <c r="L4" s="7"/>
      <c r="M4" s="7"/>
      <c r="N4" s="7"/>
      <c r="O4" s="7"/>
      <c r="P4" s="7"/>
    </row>
    <row r="5" spans="1:16" x14ac:dyDescent="0.3">
      <c r="A5">
        <v>4</v>
      </c>
      <c r="B5" t="s">
        <v>13</v>
      </c>
      <c r="C5" t="s">
        <v>14</v>
      </c>
      <c r="D5" t="s">
        <v>7</v>
      </c>
      <c r="E5">
        <v>500</v>
      </c>
      <c r="F5" t="str">
        <f>TRIM(PROPER(Customers[[#This Row],[FirstName]]&amp;" "&amp;Customers[[#This Row],[LastName]]))</f>
        <v>Mark Schwarz</v>
      </c>
      <c r="G5" t="str" cm="1">
        <f t="array" ref="G5">_xlfn.IFS(Customers[[#This Row],[Score]]&gt;750,"Best",Customers[[#This Row],[Score]]&gt;500,"Good",Customers[[#This Row],[Score]]&gt;250,"Average",TRUE,"Low")</f>
        <v>Average</v>
      </c>
      <c r="H5">
        <f>LEN(Customers[[#This Row],[FullName]])</f>
        <v>12</v>
      </c>
      <c r="I5" t="str">
        <f>IFERROR(LEFT(Customers[[#This Row],[FullName]],FIND(" ",Customers[[#This Row],[FullName]])),Customers[[#This Row],[FullName]])</f>
        <v xml:space="preserve">Mark </v>
      </c>
      <c r="J5" t="str">
        <f>IFERROR(MID(Customers[[#This Row],[FullName]],FIND(" ",Customers[[#This Row],[FullName]])+1,LEN(Customers[[#This Row],[FullName]])),Customers[[#This Row],[FullName]])</f>
        <v>Schwarz</v>
      </c>
      <c r="K5" s="7" t="b">
        <f>ISTEXT(Customers[[#This Row],[FullName]])</f>
        <v>1</v>
      </c>
      <c r="L5" s="7"/>
      <c r="M5" s="7"/>
      <c r="N5" s="7"/>
      <c r="O5" s="7"/>
      <c r="P5" s="7"/>
    </row>
    <row r="6" spans="1:16" x14ac:dyDescent="0.3">
      <c r="A6">
        <v>5</v>
      </c>
      <c r="B6" t="s">
        <v>15</v>
      </c>
      <c r="C6" t="s">
        <v>16</v>
      </c>
      <c r="D6" t="s">
        <v>10</v>
      </c>
      <c r="E6">
        <v>0</v>
      </c>
      <c r="F6" t="str">
        <f>TRIM(PROPER(Customers[[#This Row],[FirstName]]&amp;" "&amp;Customers[[#This Row],[LastName]]))</f>
        <v>Anna Adams</v>
      </c>
      <c r="G6" t="str" cm="1">
        <f t="array" ref="G6">_xlfn.IFS(Customers[[#This Row],[Score]]&gt;750,"Best",Customers[[#This Row],[Score]]&gt;500,"Good",Customers[[#This Row],[Score]]&gt;250,"Average",TRUE,"Low")</f>
        <v>Low</v>
      </c>
      <c r="H6">
        <f>LEN(Customers[[#This Row],[FullName]])</f>
        <v>10</v>
      </c>
      <c r="I6" t="str">
        <f>IFERROR(LEFT(Customers[[#This Row],[FullName]],FIND(" ",Customers[[#This Row],[FullName]])),Customers[[#This Row],[FullName]])</f>
        <v xml:space="preserve">Anna </v>
      </c>
      <c r="J6" t="str">
        <f>IFERROR(MID(Customers[[#This Row],[FullName]],FIND(" ",Customers[[#This Row],[FullName]])+1,LEN(Customers[[#This Row],[FullName]])),Customers[[#This Row],[FullName]])</f>
        <v>Adams</v>
      </c>
      <c r="K6" s="7" t="b">
        <f>ISTEXT(Customers[[#This Row],[FullName]])</f>
        <v>1</v>
      </c>
      <c r="L6" s="7"/>
      <c r="M6" s="7"/>
      <c r="N6" s="7"/>
      <c r="O6" s="7"/>
      <c r="P6" s="7"/>
    </row>
    <row r="7" spans="1:16" x14ac:dyDescent="0.3">
      <c r="K7" s="7"/>
      <c r="L7" s="7"/>
      <c r="M7" s="7"/>
      <c r="N7" s="7"/>
      <c r="O7" s="7"/>
      <c r="P7" s="7"/>
    </row>
    <row r="8" spans="1:16" x14ac:dyDescent="0.3">
      <c r="K8" s="7"/>
      <c r="L8" s="7"/>
      <c r="M8" s="7"/>
      <c r="N8" s="7"/>
      <c r="O8" s="7"/>
      <c r="P8" s="7"/>
    </row>
    <row r="9" spans="1:16" ht="15.6" x14ac:dyDescent="0.3">
      <c r="A9" s="14" t="s">
        <v>89</v>
      </c>
      <c r="B9" s="15"/>
      <c r="C9" s="15"/>
      <c r="D9" s="15"/>
      <c r="E9" s="15"/>
      <c r="F9" s="15"/>
      <c r="G9" s="15"/>
      <c r="H9" s="15"/>
      <c r="I9" s="15"/>
      <c r="J9" s="15"/>
      <c r="K9" s="15"/>
      <c r="L9" s="7"/>
      <c r="M9" s="7"/>
      <c r="N9" s="7"/>
      <c r="O9" s="7"/>
      <c r="P9" s="7"/>
    </row>
    <row r="10" spans="1:16" ht="15.6" x14ac:dyDescent="0.3">
      <c r="A10" s="15" t="s">
        <v>90</v>
      </c>
      <c r="B10" s="15"/>
      <c r="C10" s="15"/>
      <c r="D10" s="15"/>
      <c r="E10" s="15"/>
      <c r="F10" s="15"/>
      <c r="G10" s="15"/>
      <c r="H10" s="15"/>
      <c r="I10" s="15"/>
      <c r="J10" s="15"/>
      <c r="K10" s="15"/>
      <c r="L10" s="7"/>
      <c r="M10" s="7"/>
      <c r="N10" s="7"/>
      <c r="O10" s="7"/>
      <c r="P10" s="7"/>
    </row>
    <row r="11" spans="1:16" ht="15.6" x14ac:dyDescent="0.3">
      <c r="A11" s="15" t="s">
        <v>91</v>
      </c>
      <c r="B11" s="15"/>
      <c r="C11" s="15"/>
      <c r="D11" s="15"/>
      <c r="E11" s="15"/>
      <c r="F11" s="15"/>
      <c r="G11" s="15"/>
      <c r="H11" s="15"/>
      <c r="I11" s="15"/>
      <c r="J11" s="15"/>
      <c r="K11" s="15"/>
      <c r="L11" s="7"/>
      <c r="M11" s="7"/>
      <c r="N11" s="7"/>
      <c r="O11" s="7"/>
      <c r="P11" s="7"/>
    </row>
    <row r="12" spans="1:16" ht="15.6" x14ac:dyDescent="0.3">
      <c r="A12" s="15" t="s">
        <v>93</v>
      </c>
      <c r="B12" s="15"/>
      <c r="C12" s="15"/>
      <c r="D12" s="15"/>
      <c r="E12" s="15"/>
      <c r="F12" s="15"/>
      <c r="G12" s="15"/>
      <c r="H12" s="15"/>
      <c r="I12" s="15"/>
      <c r="J12" s="15"/>
      <c r="K12" s="15"/>
      <c r="L12" s="7"/>
      <c r="M12" s="7"/>
      <c r="N12" s="7"/>
      <c r="O12" s="7"/>
      <c r="P12" s="7"/>
    </row>
    <row r="13" spans="1:16" ht="15.6" x14ac:dyDescent="0.3">
      <c r="A13" s="15" t="s">
        <v>92</v>
      </c>
      <c r="B13" s="15"/>
      <c r="C13" s="15"/>
      <c r="D13" s="15"/>
      <c r="E13" s="15"/>
      <c r="F13" s="15"/>
      <c r="G13" s="15"/>
      <c r="H13" s="15"/>
      <c r="I13" s="15"/>
      <c r="J13" s="15"/>
      <c r="K13" s="15"/>
    </row>
    <row r="14" spans="1:16" ht="15.6" x14ac:dyDescent="0.3">
      <c r="A14" s="15" t="s">
        <v>96</v>
      </c>
      <c r="B14" s="15"/>
      <c r="C14" s="15"/>
      <c r="D14" s="15"/>
      <c r="E14" s="15"/>
      <c r="F14" s="15"/>
      <c r="G14" s="15"/>
      <c r="H14" s="15"/>
      <c r="I14" s="15"/>
      <c r="J14" s="15"/>
      <c r="K14" s="15"/>
    </row>
    <row r="15" spans="1:16" ht="15.6" x14ac:dyDescent="0.3">
      <c r="A15" s="15" t="s">
        <v>97</v>
      </c>
      <c r="B15" s="15"/>
      <c r="C15" s="15"/>
      <c r="D15" s="15"/>
      <c r="E15" s="15"/>
      <c r="F15" s="15"/>
      <c r="G15" s="15"/>
      <c r="H15" s="15"/>
      <c r="I15" s="15"/>
      <c r="J15" s="15"/>
      <c r="K15" s="15"/>
    </row>
    <row r="16" spans="1:16" ht="15.6" x14ac:dyDescent="0.3">
      <c r="A16" s="15" t="s">
        <v>94</v>
      </c>
      <c r="B16" s="15"/>
      <c r="C16" s="15"/>
      <c r="D16" s="15"/>
      <c r="E16" s="15"/>
      <c r="F16" s="15"/>
      <c r="G16" s="15"/>
      <c r="H16" s="15"/>
      <c r="I16" s="15"/>
      <c r="J16" s="15"/>
      <c r="K16" s="15"/>
    </row>
    <row r="17" spans="1:11" ht="15.6" x14ac:dyDescent="0.3">
      <c r="A17" s="15" t="s">
        <v>95</v>
      </c>
      <c r="B17" s="15"/>
      <c r="C17" s="15"/>
      <c r="D17" s="15"/>
      <c r="E17" s="15"/>
      <c r="F17" s="15"/>
      <c r="G17" s="15"/>
      <c r="H17" s="15"/>
      <c r="I17" s="15"/>
      <c r="J17" s="15"/>
      <c r="K17" s="15"/>
    </row>
    <row r="18" spans="1:11" x14ac:dyDescent="0.3">
      <c r="A18" s="16"/>
      <c r="B18" s="16"/>
      <c r="C18" s="16"/>
      <c r="D18" s="16"/>
      <c r="E18" s="16"/>
      <c r="F18" s="16"/>
      <c r="G18" s="16"/>
      <c r="H18" s="16"/>
      <c r="I18" s="16"/>
      <c r="J18" s="16"/>
      <c r="K18" s="16"/>
    </row>
    <row r="19" spans="1:11" x14ac:dyDescent="0.3">
      <c r="A19" s="16"/>
      <c r="B19" s="16"/>
      <c r="C19" s="16"/>
      <c r="D19" s="16"/>
      <c r="E19" s="16"/>
      <c r="F19" s="16"/>
      <c r="G19" s="16"/>
      <c r="H19" s="16"/>
      <c r="I19" s="16"/>
      <c r="J19" s="16"/>
      <c r="K19" s="16"/>
    </row>
    <row r="20" spans="1:11" x14ac:dyDescent="0.3">
      <c r="A20" s="16"/>
      <c r="B20" s="16"/>
      <c r="C20" s="16"/>
      <c r="D20" s="16"/>
      <c r="E20" s="16"/>
      <c r="F20" s="16"/>
      <c r="G20" s="16"/>
      <c r="H20" s="16"/>
      <c r="I20" s="16"/>
      <c r="J20" s="16"/>
      <c r="K20" s="16"/>
    </row>
    <row r="21" spans="1:11" x14ac:dyDescent="0.3">
      <c r="A21" s="16"/>
      <c r="B21" s="16"/>
      <c r="C21" s="16"/>
      <c r="D21" s="16"/>
      <c r="E21" s="16"/>
      <c r="F21" s="16"/>
      <c r="G21" s="16"/>
      <c r="H21" s="16"/>
      <c r="I21" s="16"/>
      <c r="J21" s="16"/>
      <c r="K21" s="16"/>
    </row>
    <row r="22" spans="1:11" x14ac:dyDescent="0.3">
      <c r="A22" s="16"/>
      <c r="B22" s="16"/>
      <c r="C22" s="16"/>
      <c r="D22" s="16"/>
      <c r="E22" s="16"/>
      <c r="F22" s="16"/>
      <c r="G22" s="16"/>
      <c r="H22" s="16"/>
      <c r="I22" s="16"/>
      <c r="J22" s="16"/>
      <c r="K22" s="16"/>
    </row>
  </sheetData>
  <mergeCells count="14">
    <mergeCell ref="A22:K22"/>
    <mergeCell ref="A9:K9"/>
    <mergeCell ref="A10:K10"/>
    <mergeCell ref="A11:K11"/>
    <mergeCell ref="A12:K12"/>
    <mergeCell ref="A13:K13"/>
    <mergeCell ref="A14:K14"/>
    <mergeCell ref="A15:K15"/>
    <mergeCell ref="A16:K16"/>
    <mergeCell ref="A17:K17"/>
    <mergeCell ref="A18:K18"/>
    <mergeCell ref="A19:K19"/>
    <mergeCell ref="A20:K20"/>
    <mergeCell ref="A21:K2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79E6-5440-4512-9269-5A02B9C74B06}">
  <sheetPr>
    <tabColor theme="3" tint="0.499984740745262"/>
  </sheetPr>
  <dimension ref="A1:M23"/>
  <sheetViews>
    <sheetView showGridLines="0" workbookViewId="0">
      <selection activeCell="A16" sqref="A16:I16"/>
    </sheetView>
  </sheetViews>
  <sheetFormatPr defaultRowHeight="14.4" x14ac:dyDescent="0.3"/>
  <cols>
    <col min="1" max="1" width="13.21875" bestFit="1" customWidth="1"/>
    <col min="2" max="2" width="12" bestFit="1" customWidth="1"/>
    <col min="3" max="3" width="11.6640625" bestFit="1" customWidth="1"/>
    <col min="4" max="4" width="13.21875" bestFit="1" customWidth="1"/>
    <col min="5" max="5" width="11.109375" bestFit="1" customWidth="1"/>
    <col min="6" max="6" width="9.33203125" bestFit="1" customWidth="1"/>
    <col min="7" max="7" width="8.44140625" bestFit="1" customWidth="1"/>
    <col min="8" max="8" width="12" bestFit="1" customWidth="1"/>
    <col min="9" max="9" width="19.21875" customWidth="1"/>
    <col min="12" max="12" width="12.77734375" customWidth="1"/>
  </cols>
  <sheetData>
    <row r="1" spans="1:13" x14ac:dyDescent="0.3">
      <c r="A1" t="s">
        <v>17</v>
      </c>
      <c r="B1" t="s">
        <v>1</v>
      </c>
      <c r="C1" t="s">
        <v>2</v>
      </c>
      <c r="D1" t="s">
        <v>18</v>
      </c>
      <c r="E1" t="s">
        <v>19</v>
      </c>
      <c r="F1" t="s">
        <v>20</v>
      </c>
      <c r="G1" t="s">
        <v>21</v>
      </c>
      <c r="H1" t="s">
        <v>22</v>
      </c>
      <c r="I1" t="s">
        <v>76</v>
      </c>
      <c r="L1" t="s">
        <v>105</v>
      </c>
      <c r="M1" t="s">
        <v>106</v>
      </c>
    </row>
    <row r="2" spans="1:13" x14ac:dyDescent="0.3">
      <c r="A2">
        <v>1</v>
      </c>
      <c r="B2" t="s">
        <v>23</v>
      </c>
      <c r="C2" t="s">
        <v>24</v>
      </c>
      <c r="D2" t="s">
        <v>25</v>
      </c>
      <c r="E2" s="1">
        <v>32482</v>
      </c>
      <c r="F2" t="s">
        <v>26</v>
      </c>
      <c r="G2">
        <v>55000</v>
      </c>
      <c r="H2">
        <v>0</v>
      </c>
      <c r="I2" t="str">
        <f>TRIM(PROPER(_xlfn.TEXTJOIN(" ",TRUE,Employees[[#This Row],[FirstName]],Employees[[#This Row],[LastName]])))</f>
        <v>Frank Lee</v>
      </c>
      <c r="L2" t="s">
        <v>98</v>
      </c>
      <c r="M2">
        <f>COUNT(Employees[Salary])</f>
        <v>5</v>
      </c>
    </row>
    <row r="3" spans="1:13" x14ac:dyDescent="0.3">
      <c r="A3">
        <v>2</v>
      </c>
      <c r="B3" t="s">
        <v>8</v>
      </c>
      <c r="C3" t="s">
        <v>9</v>
      </c>
      <c r="D3" t="s">
        <v>25</v>
      </c>
      <c r="E3" s="1">
        <v>26628</v>
      </c>
      <c r="F3" t="s">
        <v>26</v>
      </c>
      <c r="G3">
        <v>65000</v>
      </c>
      <c r="H3">
        <v>1</v>
      </c>
      <c r="I3" t="str">
        <f>TRIM(PROPER(_xlfn.TEXTJOIN(" ",TRUE,Employees[[#This Row],[FirstName]],Employees[[#This Row],[LastName]])))</f>
        <v>Kevin Brown</v>
      </c>
      <c r="L3" t="s">
        <v>99</v>
      </c>
      <c r="M3">
        <f>COUNTA(Employees[LastName])</f>
        <v>4</v>
      </c>
    </row>
    <row r="4" spans="1:13" x14ac:dyDescent="0.3">
      <c r="A4">
        <v>3</v>
      </c>
      <c r="B4" t="s">
        <v>11</v>
      </c>
      <c r="D4" t="s">
        <v>27</v>
      </c>
      <c r="E4" s="1">
        <v>31417</v>
      </c>
      <c r="F4" t="s">
        <v>28</v>
      </c>
      <c r="G4">
        <v>75000</v>
      </c>
      <c r="H4">
        <v>1</v>
      </c>
      <c r="I4" t="str">
        <f>TRIM(PROPER(_xlfn.TEXTJOIN(" ",TRUE,Employees[[#This Row],[FirstName]],Employees[[#This Row],[LastName]])))</f>
        <v>Mary</v>
      </c>
      <c r="L4" t="s">
        <v>100</v>
      </c>
      <c r="M4">
        <f>COUNTBLANK(Employees[LastName])</f>
        <v>1</v>
      </c>
    </row>
    <row r="5" spans="1:13" x14ac:dyDescent="0.3">
      <c r="A5">
        <v>4</v>
      </c>
      <c r="B5" t="s">
        <v>29</v>
      </c>
      <c r="C5" t="s">
        <v>30</v>
      </c>
      <c r="D5" t="s">
        <v>27</v>
      </c>
      <c r="E5" s="1">
        <v>28166</v>
      </c>
      <c r="F5" t="s">
        <v>26</v>
      </c>
      <c r="G5">
        <v>90000</v>
      </c>
      <c r="H5">
        <v>2</v>
      </c>
      <c r="I5" t="str">
        <f>TRIM(PROPER(_xlfn.TEXTJOIN(" ",TRUE,Employees[[#This Row],[FirstName]],Employees[[#This Row],[LastName]])))</f>
        <v>Michael Ray</v>
      </c>
      <c r="L5" t="s">
        <v>101</v>
      </c>
      <c r="M5">
        <f>MIN(Employees[Salary])</f>
        <v>55000</v>
      </c>
    </row>
    <row r="6" spans="1:13" x14ac:dyDescent="0.3">
      <c r="A6">
        <v>5</v>
      </c>
      <c r="B6" t="s">
        <v>31</v>
      </c>
      <c r="C6" t="s">
        <v>32</v>
      </c>
      <c r="D6" t="s">
        <v>27</v>
      </c>
      <c r="E6" s="1">
        <v>29993</v>
      </c>
      <c r="F6" t="s">
        <v>28</v>
      </c>
      <c r="G6">
        <v>55000</v>
      </c>
      <c r="H6">
        <v>3</v>
      </c>
      <c r="I6" t="str">
        <f>TRIM(PROPER(_xlfn.TEXTJOIN(" ",TRUE,Employees[[#This Row],[FirstName]],Employees[[#This Row],[LastName]])))</f>
        <v>Carol Baker</v>
      </c>
      <c r="L6" t="s">
        <v>102</v>
      </c>
      <c r="M6">
        <f>MAX(Employees[Salary])</f>
        <v>90000</v>
      </c>
    </row>
    <row r="7" spans="1:13" x14ac:dyDescent="0.3">
      <c r="L7" t="s">
        <v>103</v>
      </c>
      <c r="M7">
        <f>SUMIFS(Employees[Salary],Employees[Gender],"M",Employees[Department],"Marketing")</f>
        <v>120000</v>
      </c>
    </row>
    <row r="8" spans="1:13" x14ac:dyDescent="0.3">
      <c r="L8" t="s">
        <v>104</v>
      </c>
      <c r="M8">
        <f>COUNTIFS(Employees[Gender],"M",Employees[Department],"Marketing")</f>
        <v>2</v>
      </c>
    </row>
    <row r="9" spans="1:13" x14ac:dyDescent="0.3">
      <c r="L9" t="s">
        <v>107</v>
      </c>
      <c r="M9">
        <f>AVERAGEIFS(Employees[Salary],Employees[Gender],"M",Employees[Department],"Marketing")</f>
        <v>60000</v>
      </c>
    </row>
    <row r="15" spans="1:13" ht="15.6" x14ac:dyDescent="0.3">
      <c r="A15" s="14" t="s">
        <v>108</v>
      </c>
      <c r="B15" s="15"/>
      <c r="C15" s="15"/>
      <c r="D15" s="15"/>
      <c r="E15" s="15"/>
      <c r="F15" s="15"/>
      <c r="G15" s="15"/>
      <c r="H15" s="15"/>
      <c r="I15" s="15"/>
    </row>
    <row r="16" spans="1:13" ht="15.6" x14ac:dyDescent="0.3">
      <c r="A16" s="15" t="s">
        <v>109</v>
      </c>
      <c r="B16" s="15"/>
      <c r="C16" s="15"/>
      <c r="D16" s="15"/>
      <c r="E16" s="15"/>
      <c r="F16" s="15"/>
      <c r="G16" s="15"/>
      <c r="H16" s="15"/>
      <c r="I16" s="15"/>
    </row>
    <row r="17" spans="1:9" ht="15.6" x14ac:dyDescent="0.3">
      <c r="A17" s="15" t="s">
        <v>110</v>
      </c>
      <c r="B17" s="15"/>
      <c r="C17" s="15"/>
      <c r="D17" s="15"/>
      <c r="E17" s="15"/>
      <c r="F17" s="15"/>
      <c r="G17" s="15"/>
      <c r="H17" s="15"/>
      <c r="I17" s="15"/>
    </row>
    <row r="18" spans="1:9" ht="15.6" x14ac:dyDescent="0.3">
      <c r="A18" s="15" t="s">
        <v>111</v>
      </c>
      <c r="B18" s="15"/>
      <c r="C18" s="15"/>
      <c r="D18" s="15"/>
      <c r="E18" s="15"/>
      <c r="F18" s="15"/>
      <c r="G18" s="15"/>
      <c r="H18" s="15"/>
      <c r="I18" s="15"/>
    </row>
    <row r="19" spans="1:9" ht="15.6" x14ac:dyDescent="0.3">
      <c r="A19" s="15" t="s">
        <v>112</v>
      </c>
      <c r="B19" s="15"/>
      <c r="C19" s="15"/>
      <c r="D19" s="15"/>
      <c r="E19" s="15"/>
      <c r="F19" s="15"/>
      <c r="G19" s="15"/>
      <c r="H19" s="15"/>
      <c r="I19" s="15"/>
    </row>
    <row r="20" spans="1:9" ht="15.6" x14ac:dyDescent="0.3">
      <c r="A20" s="15" t="s">
        <v>133</v>
      </c>
      <c r="B20" s="15"/>
      <c r="C20" s="15"/>
      <c r="D20" s="15"/>
      <c r="E20" s="15"/>
      <c r="F20" s="15"/>
      <c r="G20" s="15"/>
      <c r="H20" s="15"/>
      <c r="I20" s="15"/>
    </row>
    <row r="21" spans="1:9" ht="15.6" x14ac:dyDescent="0.3">
      <c r="A21" s="15" t="s">
        <v>113</v>
      </c>
      <c r="B21" s="15"/>
      <c r="C21" s="15"/>
      <c r="D21" s="15"/>
      <c r="E21" s="15"/>
      <c r="F21" s="15"/>
      <c r="G21" s="15"/>
      <c r="H21" s="15"/>
      <c r="I21" s="15"/>
    </row>
    <row r="22" spans="1:9" ht="15.6" x14ac:dyDescent="0.3">
      <c r="A22" s="15" t="s">
        <v>134</v>
      </c>
      <c r="B22" s="15"/>
      <c r="C22" s="15"/>
      <c r="D22" s="15"/>
      <c r="E22" s="15"/>
      <c r="F22" s="15"/>
      <c r="G22" s="15"/>
      <c r="H22" s="15"/>
      <c r="I22" s="15"/>
    </row>
    <row r="23" spans="1:9" x14ac:dyDescent="0.3">
      <c r="A23" s="16"/>
      <c r="B23" s="16"/>
      <c r="C23" s="16"/>
      <c r="D23" s="16"/>
      <c r="E23" s="16"/>
      <c r="F23" s="16"/>
      <c r="G23" s="16"/>
      <c r="H23" s="16"/>
      <c r="I23" s="16"/>
    </row>
  </sheetData>
  <mergeCells count="9">
    <mergeCell ref="A21:I21"/>
    <mergeCell ref="A22:I22"/>
    <mergeCell ref="A23:I23"/>
    <mergeCell ref="A15:I15"/>
    <mergeCell ref="A16:I16"/>
    <mergeCell ref="A17:I17"/>
    <mergeCell ref="A18:I18"/>
    <mergeCell ref="A19:I19"/>
    <mergeCell ref="A20:I20"/>
  </mergeCells>
  <dataValidations count="3">
    <dataValidation type="list" allowBlank="1" showInputMessage="1" showErrorMessage="1" errorTitle="Wrong input" error="Select from drop down_x000a_" promptTitle="Select Gender" prompt="select M for male and F fo Female from dropdown" sqref="F2:F6" xr:uid="{0C2BAB54-503B-49C5-BB66-971CC862CCD0}">
      <formula1>"M,F"</formula1>
    </dataValidation>
    <dataValidation type="list" allowBlank="1" showInputMessage="1" showErrorMessage="1" sqref="D2:D6" xr:uid="{73DCF6D3-AE1F-4A86-8E54-C4D9D81C6918}">
      <formula1>"Marketing,Sales"</formula1>
    </dataValidation>
    <dataValidation type="whole" allowBlank="1" showInputMessage="1" showErrorMessage="1" sqref="H2:H6" xr:uid="{5164DB52-4B96-4CC6-B502-F255B211386D}">
      <formula1>0</formula1>
      <formula2>7</formula2>
    </dataValidation>
  </dataValidations>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0CE75-C151-497B-B604-62363FEDE9A7}">
  <sheetPr>
    <tabColor theme="2" tint="-0.499984740745262"/>
  </sheetPr>
  <dimension ref="A1:AG21"/>
  <sheetViews>
    <sheetView showGridLines="0" topLeftCell="K1" zoomScale="78" zoomScaleNormal="78" workbookViewId="0">
      <selection activeCell="K13" sqref="K13"/>
    </sheetView>
  </sheetViews>
  <sheetFormatPr defaultRowHeight="14.4" x14ac:dyDescent="0.3"/>
  <cols>
    <col min="1" max="1" width="9.77734375" bestFit="1" customWidth="1"/>
    <col min="2" max="2" width="11.5546875" bestFit="1" customWidth="1"/>
    <col min="3" max="3" width="9.77734375" bestFit="1" customWidth="1"/>
    <col min="4" max="4" width="10.88671875" bestFit="1" customWidth="1"/>
    <col min="5" max="5" width="7.5546875" bestFit="1" customWidth="1"/>
    <col min="6" max="6" width="13.109375" bestFit="1" customWidth="1"/>
    <col min="7" max="7" width="16.44140625" bestFit="1" customWidth="1"/>
    <col min="8" max="8" width="9.6640625" bestFit="1" customWidth="1"/>
    <col min="9" max="9" width="15.33203125" bestFit="1" customWidth="1"/>
    <col min="10" max="10" width="18.5546875" bestFit="1" customWidth="1"/>
    <col min="11" max="11" width="13.21875" bestFit="1" customWidth="1"/>
    <col min="12" max="12" width="11.88671875" style="1" bestFit="1" customWidth="1"/>
    <col min="13" max="13" width="10.88671875" style="1" bestFit="1" customWidth="1"/>
    <col min="14" max="14" width="13.33203125" bestFit="1" customWidth="1"/>
    <col min="15" max="15" width="15.21875" bestFit="1" customWidth="1"/>
    <col min="16" max="16" width="13.109375" bestFit="1" customWidth="1"/>
    <col min="17" max="17" width="10.33203125" bestFit="1" customWidth="1"/>
    <col min="18" max="18" width="13.88671875" customWidth="1"/>
    <col min="19" max="19" width="7.77734375" bestFit="1" customWidth="1"/>
    <col min="20" max="20" width="11.77734375" customWidth="1"/>
    <col min="21" max="21" width="13.109375" customWidth="1"/>
    <col min="33" max="33" width="12.6640625" customWidth="1"/>
  </cols>
  <sheetData>
    <row r="1" spans="1:33" ht="15.6" x14ac:dyDescent="0.3">
      <c r="A1" t="s">
        <v>33</v>
      </c>
      <c r="B1" t="s">
        <v>34</v>
      </c>
      <c r="C1" t="s">
        <v>66</v>
      </c>
      <c r="D1" t="s">
        <v>67</v>
      </c>
      <c r="E1" t="s">
        <v>68</v>
      </c>
      <c r="F1" t="s">
        <v>0</v>
      </c>
      <c r="G1" t="s">
        <v>83</v>
      </c>
      <c r="H1" t="s">
        <v>3</v>
      </c>
      <c r="I1" t="s">
        <v>35</v>
      </c>
      <c r="J1" t="s">
        <v>84</v>
      </c>
      <c r="K1" t="s">
        <v>18</v>
      </c>
      <c r="L1" s="1" t="s">
        <v>36</v>
      </c>
      <c r="M1" s="1" t="s">
        <v>37</v>
      </c>
      <c r="N1" t="s">
        <v>38</v>
      </c>
      <c r="O1" t="s">
        <v>39</v>
      </c>
      <c r="P1" t="s">
        <v>40</v>
      </c>
      <c r="Q1" t="s">
        <v>41</v>
      </c>
      <c r="R1" t="s">
        <v>138</v>
      </c>
      <c r="S1" t="s">
        <v>27</v>
      </c>
      <c r="T1" t="s">
        <v>136</v>
      </c>
      <c r="U1" t="s">
        <v>137</v>
      </c>
      <c r="X1" s="14" t="s">
        <v>139</v>
      </c>
      <c r="Y1" s="14"/>
      <c r="Z1" s="14"/>
      <c r="AA1" s="14"/>
      <c r="AB1" s="14"/>
      <c r="AC1" s="14"/>
      <c r="AD1" s="14"/>
      <c r="AE1" s="14"/>
      <c r="AF1" s="14"/>
      <c r="AG1" s="14"/>
    </row>
    <row r="2" spans="1:33" ht="15.6" x14ac:dyDescent="0.3">
      <c r="A2">
        <v>1</v>
      </c>
      <c r="B2">
        <v>101</v>
      </c>
      <c r="C2" t="str">
        <f>VLOOKUP(Orders__2[[#This Row],[ProductID]],Products[[ProductID]:[Product]],2,0)</f>
        <v>Bottle</v>
      </c>
      <c r="D2" t="str">
        <f>INDEX(Products[Category],MATCH(Orders__2[[#This Row],[ProductID]],Products[ProductID]))</f>
        <v>Accessories</v>
      </c>
      <c r="E2">
        <f>_xlfn.XLOOKUP(Orders__2[[#This Row],[ProductID]],Products[ProductID],Products[Price],"not found",0)</f>
        <v>10</v>
      </c>
      <c r="F2">
        <v>2</v>
      </c>
      <c r="G2" t="str">
        <f>VLOOKUP(Orders__2[[#This Row],[CustomerID]],Customers[[#All],[CustomerID]:[FullName]],6,FALSE)</f>
        <v>Kevin Brown</v>
      </c>
      <c r="H2" t="str">
        <f>INDEX(Customers[Country],MATCH(Orders__2[[#This Row],[CustomerID]],Customers[CustomerID],0))</f>
        <v>USA</v>
      </c>
      <c r="I2">
        <v>3</v>
      </c>
      <c r="J2" t="str">
        <f>_xlfn.XLOOKUP(Orders__2[[#This Row],[SalesPersonID]],Employees[EmployeeID],Employees[FullName],"not found",0)</f>
        <v>Mary</v>
      </c>
      <c r="K2" t="str">
        <f>_xlfn.XLOOKUP(Orders__2[[#This Row],[SalesPersonID]],Employees[EmployeeID],Employees[Department],"not found",0)</f>
        <v>Sales</v>
      </c>
      <c r="L2" s="1">
        <v>45383</v>
      </c>
      <c r="M2" s="1">
        <v>45387</v>
      </c>
      <c r="N2" t="s">
        <v>46</v>
      </c>
      <c r="O2" t="s">
        <v>55</v>
      </c>
      <c r="P2" t="s">
        <v>56</v>
      </c>
      <c r="Q2">
        <v>1</v>
      </c>
      <c r="R2">
        <f>Orders__2[[#This Row],[Price]]*Orders__2[[#This Row],[Quantity]]</f>
        <v>10</v>
      </c>
      <c r="S2">
        <v>10</v>
      </c>
      <c r="T2">
        <f>_xlfn.DAYS(Orders__2[[#This Row],[ShipDate]],Orders__2[[#This Row],[OrderDate]])</f>
        <v>4</v>
      </c>
      <c r="U2">
        <f>YEAR(Orders__2[[#This Row],[OrderDate]])</f>
        <v>2024</v>
      </c>
      <c r="X2" s="15" t="s">
        <v>140</v>
      </c>
      <c r="Y2" s="15"/>
      <c r="Z2" s="15"/>
      <c r="AA2" s="15"/>
      <c r="AB2" s="15"/>
      <c r="AC2" s="15"/>
      <c r="AD2" s="15"/>
      <c r="AE2" s="15"/>
      <c r="AF2" s="15"/>
      <c r="AG2" s="15"/>
    </row>
    <row r="3" spans="1:33" ht="15.6" x14ac:dyDescent="0.3">
      <c r="A3">
        <v>1</v>
      </c>
      <c r="B3">
        <v>101</v>
      </c>
      <c r="C3" t="str">
        <f>VLOOKUP(Orders__2[[#This Row],[ProductID]],Products[[ProductID]:[Product]],2,0)</f>
        <v>Bottle</v>
      </c>
      <c r="D3" t="str">
        <f>INDEX(Products[Category],MATCH(Orders__2[[#This Row],[ProductID]],Products[ProductID]))</f>
        <v>Accessories</v>
      </c>
      <c r="E3">
        <f>_xlfn.XLOOKUP(Orders__2[[#This Row],[ProductID]],Products[ProductID],Products[Price],"not found",0)</f>
        <v>10</v>
      </c>
      <c r="F3">
        <v>2</v>
      </c>
      <c r="G3" t="str">
        <f>VLOOKUP(Orders__2[[#This Row],[CustomerID]],Customers[[#All],[CustomerID]:[FullName]],6,FALSE)</f>
        <v>Kevin Brown</v>
      </c>
      <c r="H3" t="str">
        <f>INDEX(Customers[Country],MATCH(Orders__2[[#This Row],[CustomerID]],Customers[CustomerID],0))</f>
        <v>USA</v>
      </c>
      <c r="I3">
        <v>3</v>
      </c>
      <c r="J3" t="str">
        <f>_xlfn.XLOOKUP(Orders__2[[#This Row],[SalesPersonID]],Employees[EmployeeID],Employees[FullName],"not found",0)</f>
        <v>Mary</v>
      </c>
      <c r="K3" t="str">
        <f>_xlfn.XLOOKUP(Orders__2[[#This Row],[SalesPersonID]],Employees[EmployeeID],Employees[Department],"not found",0)</f>
        <v>Sales</v>
      </c>
      <c r="L3" s="1">
        <v>45658</v>
      </c>
      <c r="M3" s="1">
        <v>45662</v>
      </c>
      <c r="N3" t="s">
        <v>43</v>
      </c>
      <c r="O3" t="s">
        <v>44</v>
      </c>
      <c r="P3" t="s">
        <v>45</v>
      </c>
      <c r="Q3">
        <v>1</v>
      </c>
      <c r="R3">
        <f>Orders__2[[#This Row],[Price]]*Orders__2[[#This Row],[Quantity]]</f>
        <v>10</v>
      </c>
      <c r="S3">
        <v>10</v>
      </c>
      <c r="T3">
        <f>_xlfn.DAYS(Orders__2[[#This Row],[ShipDate]],Orders__2[[#This Row],[OrderDate]])</f>
        <v>4</v>
      </c>
      <c r="U3">
        <f>YEAR(Orders__2[[#This Row],[OrderDate]])</f>
        <v>2025</v>
      </c>
      <c r="X3" s="15" t="s">
        <v>141</v>
      </c>
      <c r="Y3" s="15"/>
      <c r="Z3" s="15"/>
      <c r="AA3" s="15"/>
      <c r="AB3" s="15"/>
      <c r="AC3" s="15"/>
      <c r="AD3" s="15"/>
      <c r="AE3" s="15"/>
      <c r="AF3" s="15"/>
      <c r="AG3" s="15"/>
    </row>
    <row r="4" spans="1:33" ht="15.6" x14ac:dyDescent="0.3">
      <c r="A4">
        <v>2</v>
      </c>
      <c r="B4">
        <v>102</v>
      </c>
      <c r="C4" t="str">
        <f>VLOOKUP(Orders__2[[#This Row],[ProductID]],Products[[ProductID]:[Product]],2,0)</f>
        <v>Tire</v>
      </c>
      <c r="D4" t="str">
        <f>INDEX(Products[Category],MATCH(Orders__2[[#This Row],[ProductID]],Products[ProductID]))</f>
        <v>Accessories</v>
      </c>
      <c r="E4">
        <f>_xlfn.XLOOKUP(Orders__2[[#This Row],[ProductID]],Products[ProductID],Products[Price],"not found",0)</f>
        <v>15</v>
      </c>
      <c r="F4">
        <v>3</v>
      </c>
      <c r="G4" t="str">
        <f>VLOOKUP(Orders__2[[#This Row],[CustomerID]],Customers[[#All],[CustomerID]:[FullName]],6,FALSE)</f>
        <v>Mary</v>
      </c>
      <c r="H4" t="str">
        <f>INDEX(Customers[Country],MATCH(Orders__2[[#This Row],[CustomerID]],Customers[CustomerID],0))</f>
        <v>USA</v>
      </c>
      <c r="I4">
        <v>3</v>
      </c>
      <c r="J4" t="str">
        <f>_xlfn.XLOOKUP(Orders__2[[#This Row],[SalesPersonID]],Employees[EmployeeID],Employees[FullName],"not found",0)</f>
        <v>Mary</v>
      </c>
      <c r="K4" t="str">
        <f>_xlfn.XLOOKUP(Orders__2[[#This Row],[SalesPersonID]],Employees[EmployeeID],Employees[Department],"not found",0)</f>
        <v>Sales</v>
      </c>
      <c r="L4" s="1">
        <v>45387</v>
      </c>
      <c r="M4" s="1">
        <v>45392</v>
      </c>
      <c r="N4" t="s">
        <v>46</v>
      </c>
      <c r="O4" t="s">
        <v>57</v>
      </c>
      <c r="P4" t="s">
        <v>58</v>
      </c>
      <c r="Q4">
        <v>1</v>
      </c>
      <c r="R4">
        <f>Orders__2[[#This Row],[Price]]*Orders__2[[#This Row],[Quantity]]</f>
        <v>15</v>
      </c>
      <c r="S4">
        <v>15</v>
      </c>
      <c r="T4">
        <f>_xlfn.DAYS(Orders__2[[#This Row],[ShipDate]],Orders__2[[#This Row],[OrderDate]])</f>
        <v>5</v>
      </c>
      <c r="U4">
        <f>YEAR(Orders__2[[#This Row],[OrderDate]])</f>
        <v>2024</v>
      </c>
      <c r="X4" s="15" t="s">
        <v>143</v>
      </c>
      <c r="Y4" s="15"/>
      <c r="Z4" s="15"/>
      <c r="AA4" s="15"/>
      <c r="AB4" s="15"/>
      <c r="AC4" s="15"/>
      <c r="AD4" s="15"/>
      <c r="AE4" s="15"/>
      <c r="AF4" s="15"/>
      <c r="AG4" s="15"/>
    </row>
    <row r="5" spans="1:33" ht="15.6" x14ac:dyDescent="0.3">
      <c r="A5">
        <v>2</v>
      </c>
      <c r="B5">
        <v>102</v>
      </c>
      <c r="C5" t="str">
        <f>VLOOKUP(Orders__2[[#This Row],[ProductID]],Products[[ProductID]:[Product]],2,0)</f>
        <v>Tire</v>
      </c>
      <c r="D5" t="str">
        <f>INDEX(Products[Category],MATCH(Orders__2[[#This Row],[ProductID]],Products[ProductID]))</f>
        <v>Accessories</v>
      </c>
      <c r="E5">
        <f>_xlfn.XLOOKUP(Orders__2[[#This Row],[ProductID]],Products[ProductID],Products[Price],"not found",0)</f>
        <v>15</v>
      </c>
      <c r="F5">
        <v>3</v>
      </c>
      <c r="G5" t="str">
        <f>VLOOKUP(Orders__2[[#This Row],[CustomerID]],Customers[[#All],[CustomerID]:[FullName]],6,FALSE)</f>
        <v>Mary</v>
      </c>
      <c r="H5" t="str">
        <f>INDEX(Customers[Country],MATCH(Orders__2[[#This Row],[CustomerID]],Customers[CustomerID],0))</f>
        <v>USA</v>
      </c>
      <c r="I5">
        <v>3</v>
      </c>
      <c r="J5" t="str">
        <f>_xlfn.XLOOKUP(Orders__2[[#This Row],[SalesPersonID]],Employees[EmployeeID],Employees[FullName],"not found",0)</f>
        <v>Mary</v>
      </c>
      <c r="K5" t="str">
        <f>_xlfn.XLOOKUP(Orders__2[[#This Row],[SalesPersonID]],Employees[EmployeeID],Employees[Department],"not found",0)</f>
        <v>Sales</v>
      </c>
      <c r="L5" s="1">
        <v>45662</v>
      </c>
      <c r="M5" s="1">
        <v>45667</v>
      </c>
      <c r="N5" t="s">
        <v>46</v>
      </c>
      <c r="O5" t="s">
        <v>47</v>
      </c>
      <c r="P5" t="s">
        <v>135</v>
      </c>
      <c r="Q5">
        <v>1</v>
      </c>
      <c r="R5">
        <f>Orders__2[[#This Row],[Price]]*Orders__2[[#This Row],[Quantity]]</f>
        <v>15</v>
      </c>
      <c r="S5">
        <v>15</v>
      </c>
      <c r="T5">
        <f>_xlfn.DAYS(Orders__2[[#This Row],[ShipDate]],Orders__2[[#This Row],[OrderDate]])</f>
        <v>5</v>
      </c>
      <c r="U5">
        <f>YEAR(Orders__2[[#This Row],[OrderDate]])</f>
        <v>2025</v>
      </c>
      <c r="X5" s="15" t="s">
        <v>142</v>
      </c>
      <c r="Y5" s="15"/>
      <c r="Z5" s="15"/>
      <c r="AA5" s="15"/>
      <c r="AB5" s="15"/>
      <c r="AC5" s="15"/>
      <c r="AD5" s="15"/>
      <c r="AE5" s="15"/>
      <c r="AF5" s="15"/>
      <c r="AG5" s="15"/>
    </row>
    <row r="6" spans="1:33" ht="15.6" x14ac:dyDescent="0.3">
      <c r="A6">
        <v>3</v>
      </c>
      <c r="B6">
        <v>101</v>
      </c>
      <c r="C6" t="str">
        <f>VLOOKUP(Orders__2[[#This Row],[ProductID]],Products[[ProductID]:[Product]],2,0)</f>
        <v>Bottle</v>
      </c>
      <c r="D6" t="str">
        <f>INDEX(Products[Category],MATCH(Orders__2[[#This Row],[ProductID]],Products[ProductID]))</f>
        <v>Accessories</v>
      </c>
      <c r="E6">
        <f>_xlfn.XLOOKUP(Orders__2[[#This Row],[ProductID]],Products[ProductID],Products[Price],"not found",0)</f>
        <v>10</v>
      </c>
      <c r="F6">
        <v>1</v>
      </c>
      <c r="G6" t="str">
        <f>VLOOKUP(Orders__2[[#This Row],[CustomerID]],Customers[[#All],[CustomerID]:[FullName]],6,FALSE)</f>
        <v>Jossef Goldberg</v>
      </c>
      <c r="H6" t="str">
        <f>INDEX(Customers[Country],MATCH(Orders__2[[#This Row],[CustomerID]],Customers[CustomerID],0))</f>
        <v>Germany</v>
      </c>
      <c r="I6">
        <v>4</v>
      </c>
      <c r="J6" t="str">
        <f>_xlfn.XLOOKUP(Orders__2[[#This Row],[SalesPersonID]],Employees[EmployeeID],Employees[FullName],"not found",0)</f>
        <v>Michael Ray</v>
      </c>
      <c r="K6" t="str">
        <f>_xlfn.XLOOKUP(Orders__2[[#This Row],[SalesPersonID]],Employees[EmployeeID],Employees[Department],"not found",0)</f>
        <v>Sales</v>
      </c>
      <c r="L6" s="1">
        <v>45392</v>
      </c>
      <c r="M6" s="1">
        <v>45407</v>
      </c>
      <c r="N6" t="s">
        <v>46</v>
      </c>
      <c r="O6" t="s">
        <v>59</v>
      </c>
      <c r="P6" t="s">
        <v>59</v>
      </c>
      <c r="Q6">
        <v>2</v>
      </c>
      <c r="R6">
        <f>Orders__2[[#This Row],[Price]]*Orders__2[[#This Row],[Quantity]]</f>
        <v>20</v>
      </c>
      <c r="S6">
        <v>20</v>
      </c>
      <c r="T6">
        <f>_xlfn.DAYS(Orders__2[[#This Row],[ShipDate]],Orders__2[[#This Row],[OrderDate]])</f>
        <v>15</v>
      </c>
      <c r="U6">
        <f>YEAR(Orders__2[[#This Row],[OrderDate]])</f>
        <v>2024</v>
      </c>
      <c r="X6" s="15" t="s">
        <v>144</v>
      </c>
      <c r="Y6" s="15"/>
      <c r="Z6" s="15"/>
      <c r="AA6" s="15"/>
      <c r="AB6" s="15"/>
      <c r="AC6" s="15"/>
      <c r="AD6" s="15"/>
      <c r="AE6" s="15"/>
      <c r="AF6" s="15"/>
      <c r="AG6" s="15"/>
    </row>
    <row r="7" spans="1:33" x14ac:dyDescent="0.3">
      <c r="A7">
        <v>3</v>
      </c>
      <c r="B7">
        <v>101</v>
      </c>
      <c r="C7" t="str">
        <f>VLOOKUP(Orders__2[[#This Row],[ProductID]],Products[[ProductID]:[Product]],2,0)</f>
        <v>Bottle</v>
      </c>
      <c r="D7" t="str">
        <f>INDEX(Products[Category],MATCH(Orders__2[[#This Row],[ProductID]],Products[ProductID]))</f>
        <v>Accessories</v>
      </c>
      <c r="E7">
        <f>_xlfn.XLOOKUP(Orders__2[[#This Row],[ProductID]],Products[ProductID],Products[Price],"not found",0)</f>
        <v>10</v>
      </c>
      <c r="F7">
        <v>1</v>
      </c>
      <c r="G7" t="str">
        <f>VLOOKUP(Orders__2[[#This Row],[CustomerID]],Customers[[#All],[CustomerID]:[FullName]],6,FALSE)</f>
        <v>Jossef Goldberg</v>
      </c>
      <c r="H7" t="str">
        <f>INDEX(Customers[Country],MATCH(Orders__2[[#This Row],[CustomerID]],Customers[CustomerID],0))</f>
        <v>Germany</v>
      </c>
      <c r="I7">
        <v>5</v>
      </c>
      <c r="J7" t="str">
        <f>_xlfn.XLOOKUP(Orders__2[[#This Row],[SalesPersonID]],Employees[EmployeeID],Employees[FullName],"not found",0)</f>
        <v>Carol Baker</v>
      </c>
      <c r="K7" t="str">
        <f>_xlfn.XLOOKUP(Orders__2[[#This Row],[SalesPersonID]],Employees[EmployeeID],Employees[Department],"not found",0)</f>
        <v>Sales</v>
      </c>
      <c r="L7" s="1">
        <v>45667</v>
      </c>
      <c r="M7" s="1">
        <v>45682</v>
      </c>
      <c r="N7" t="s">
        <v>43</v>
      </c>
      <c r="O7" t="s">
        <v>48</v>
      </c>
      <c r="P7" t="s">
        <v>48</v>
      </c>
      <c r="Q7">
        <v>2</v>
      </c>
      <c r="R7">
        <f>Orders__2[[#This Row],[Price]]*Orders__2[[#This Row],[Quantity]]</f>
        <v>20</v>
      </c>
      <c r="S7">
        <v>20</v>
      </c>
      <c r="T7">
        <f>_xlfn.DAYS(Orders__2[[#This Row],[ShipDate]],Orders__2[[#This Row],[OrderDate]])</f>
        <v>15</v>
      </c>
      <c r="U7">
        <f>YEAR(Orders__2[[#This Row],[OrderDate]])</f>
        <v>2025</v>
      </c>
    </row>
    <row r="8" spans="1:33" x14ac:dyDescent="0.3">
      <c r="A8">
        <v>4</v>
      </c>
      <c r="B8">
        <v>105</v>
      </c>
      <c r="C8" t="str">
        <f>VLOOKUP(Orders__2[[#This Row],[ProductID]],Products[[ProductID]:[Product]],2,0)</f>
        <v>Gloves</v>
      </c>
      <c r="D8" t="str">
        <f>INDEX(Products[Category],MATCH(Orders__2[[#This Row],[ProductID]],Products[ProductID]))</f>
        <v>Clothing</v>
      </c>
      <c r="E8">
        <f>_xlfn.XLOOKUP(Orders__2[[#This Row],[ProductID]],Products[ProductID],Products[Price],"not found",0)</f>
        <v>30</v>
      </c>
      <c r="F8">
        <v>1</v>
      </c>
      <c r="G8" t="str">
        <f>VLOOKUP(Orders__2[[#This Row],[CustomerID]],Customers[[#All],[CustomerID]:[FullName]],6,FALSE)</f>
        <v>Jossef Goldberg</v>
      </c>
      <c r="H8" t="str">
        <f>INDEX(Customers[Country],MATCH(Orders__2[[#This Row],[CustomerID]],Customers[CustomerID],0))</f>
        <v>Germany</v>
      </c>
      <c r="I8">
        <v>3</v>
      </c>
      <c r="J8" t="str">
        <f>_xlfn.XLOOKUP(Orders__2[[#This Row],[SalesPersonID]],Employees[EmployeeID],Employees[FullName],"not found",0)</f>
        <v>Mary</v>
      </c>
      <c r="K8" t="str">
        <f>_xlfn.XLOOKUP(Orders__2[[#This Row],[SalesPersonID]],Employees[EmployeeID],Employees[Department],"not found",0)</f>
        <v>Sales</v>
      </c>
      <c r="L8" s="1">
        <v>45402</v>
      </c>
      <c r="M8" s="1">
        <v>45407</v>
      </c>
      <c r="N8" t="s">
        <v>46</v>
      </c>
      <c r="O8" t="s">
        <v>60</v>
      </c>
      <c r="P8" t="s">
        <v>135</v>
      </c>
      <c r="Q8">
        <v>2</v>
      </c>
      <c r="R8">
        <f>Orders__2[[#This Row],[Price]]*Orders__2[[#This Row],[Quantity]]</f>
        <v>60</v>
      </c>
      <c r="S8">
        <v>60</v>
      </c>
      <c r="T8">
        <f>_xlfn.DAYS(Orders__2[[#This Row],[ShipDate]],Orders__2[[#This Row],[OrderDate]])</f>
        <v>5</v>
      </c>
      <c r="U8">
        <f>YEAR(Orders__2[[#This Row],[OrderDate]])</f>
        <v>2024</v>
      </c>
    </row>
    <row r="9" spans="1:33" x14ac:dyDescent="0.3">
      <c r="A9">
        <v>4</v>
      </c>
      <c r="B9">
        <v>105</v>
      </c>
      <c r="C9" t="str">
        <f>VLOOKUP(Orders__2[[#This Row],[ProductID]],Products[[ProductID]:[Product]],2,0)</f>
        <v>Gloves</v>
      </c>
      <c r="D9" t="str">
        <f>INDEX(Products[Category],MATCH(Orders__2[[#This Row],[ProductID]],Products[ProductID]))</f>
        <v>Clothing</v>
      </c>
      <c r="E9">
        <f>_xlfn.XLOOKUP(Orders__2[[#This Row],[ProductID]],Products[ProductID],Products[Price],"not found",0)</f>
        <v>30</v>
      </c>
      <c r="F9">
        <v>1</v>
      </c>
      <c r="G9" t="str">
        <f>VLOOKUP(Orders__2[[#This Row],[CustomerID]],Customers[[#All],[CustomerID]:[FullName]],6,FALSE)</f>
        <v>Jossef Goldberg</v>
      </c>
      <c r="H9" t="str">
        <f>INDEX(Customers[Country],MATCH(Orders__2[[#This Row],[CustomerID]],Customers[CustomerID],0))</f>
        <v>Germany</v>
      </c>
      <c r="I9">
        <v>3</v>
      </c>
      <c r="J9" t="str">
        <f>_xlfn.XLOOKUP(Orders__2[[#This Row],[SalesPersonID]],Employees[EmployeeID],Employees[FullName],"not found",0)</f>
        <v>Mary</v>
      </c>
      <c r="K9" t="str">
        <f>_xlfn.XLOOKUP(Orders__2[[#This Row],[SalesPersonID]],Employees[EmployeeID],Employees[Department],"not found",0)</f>
        <v>Sales</v>
      </c>
      <c r="L9" s="1">
        <v>45402</v>
      </c>
      <c r="M9" s="1">
        <v>45407</v>
      </c>
      <c r="N9" t="s">
        <v>43</v>
      </c>
      <c r="O9" t="s">
        <v>60</v>
      </c>
      <c r="P9" t="s">
        <v>135</v>
      </c>
      <c r="Q9">
        <v>2</v>
      </c>
      <c r="R9">
        <f>Orders__2[[#This Row],[Price]]*Orders__2[[#This Row],[Quantity]]</f>
        <v>60</v>
      </c>
      <c r="S9">
        <v>60</v>
      </c>
      <c r="T9">
        <f>_xlfn.DAYS(Orders__2[[#This Row],[ShipDate]],Orders__2[[#This Row],[OrderDate]])</f>
        <v>5</v>
      </c>
      <c r="U9">
        <f>YEAR(Orders__2[[#This Row],[OrderDate]])</f>
        <v>2024</v>
      </c>
    </row>
    <row r="10" spans="1:33" x14ac:dyDescent="0.3">
      <c r="A10">
        <v>4</v>
      </c>
      <c r="B10">
        <v>105</v>
      </c>
      <c r="C10" t="str">
        <f>VLOOKUP(Orders__2[[#This Row],[ProductID]],Products[[ProductID]:[Product]],2,0)</f>
        <v>Gloves</v>
      </c>
      <c r="D10" t="str">
        <f>INDEX(Products[Category],MATCH(Orders__2[[#This Row],[ProductID]],Products[ProductID]))</f>
        <v>Clothing</v>
      </c>
      <c r="E10">
        <f>_xlfn.XLOOKUP(Orders__2[[#This Row],[ProductID]],Products[ProductID],Products[Price],"not found",0)</f>
        <v>30</v>
      </c>
      <c r="F10">
        <v>1</v>
      </c>
      <c r="G10" t="str">
        <f>VLOOKUP(Orders__2[[#This Row],[CustomerID]],Customers[[#All],[CustomerID]:[FullName]],6,FALSE)</f>
        <v>Jossef Goldberg</v>
      </c>
      <c r="H10" t="str">
        <f>INDEX(Customers[Country],MATCH(Orders__2[[#This Row],[CustomerID]],Customers[CustomerID],0))</f>
        <v>Germany</v>
      </c>
      <c r="I10">
        <v>3</v>
      </c>
      <c r="J10" t="str">
        <f>_xlfn.XLOOKUP(Orders__2[[#This Row],[SalesPersonID]],Employees[EmployeeID],Employees[FullName],"not found",0)</f>
        <v>Mary</v>
      </c>
      <c r="K10" t="str">
        <f>_xlfn.XLOOKUP(Orders__2[[#This Row],[SalesPersonID]],Employees[EmployeeID],Employees[Department],"not found",0)</f>
        <v>Sales</v>
      </c>
      <c r="L10" s="1">
        <v>45677</v>
      </c>
      <c r="M10" s="1">
        <v>45682</v>
      </c>
      <c r="N10" t="s">
        <v>46</v>
      </c>
      <c r="O10" t="s">
        <v>49</v>
      </c>
      <c r="P10" t="s">
        <v>135</v>
      </c>
      <c r="Q10">
        <v>2</v>
      </c>
      <c r="R10">
        <f>Orders__2[[#This Row],[Price]]*Orders__2[[#This Row],[Quantity]]</f>
        <v>60</v>
      </c>
      <c r="S10">
        <v>60</v>
      </c>
      <c r="T10">
        <f>_xlfn.DAYS(Orders__2[[#This Row],[ShipDate]],Orders__2[[#This Row],[OrderDate]])</f>
        <v>5</v>
      </c>
      <c r="U10">
        <f>YEAR(Orders__2[[#This Row],[OrderDate]])</f>
        <v>2025</v>
      </c>
    </row>
    <row r="11" spans="1:33" x14ac:dyDescent="0.3">
      <c r="A11">
        <v>5</v>
      </c>
      <c r="B11">
        <v>104</v>
      </c>
      <c r="C11" t="str">
        <f>VLOOKUP(Orders__2[[#This Row],[ProductID]],Products[[ProductID]:[Product]],2,0)</f>
        <v>Caps</v>
      </c>
      <c r="D11" t="str">
        <f>INDEX(Products[Category],MATCH(Orders__2[[#This Row],[ProductID]],Products[ProductID]))</f>
        <v>Clothing</v>
      </c>
      <c r="E11">
        <f>_xlfn.XLOOKUP(Orders__2[[#This Row],[ProductID]],Products[ProductID],Products[Price],"not found",0)</f>
        <v>25</v>
      </c>
      <c r="F11">
        <v>2</v>
      </c>
      <c r="G11" t="str">
        <f>VLOOKUP(Orders__2[[#This Row],[CustomerID]],Customers[[#All],[CustomerID]:[FullName]],6,FALSE)</f>
        <v>Kevin Brown</v>
      </c>
      <c r="H11" t="str">
        <f>INDEX(Customers[Country],MATCH(Orders__2[[#This Row],[CustomerID]],Customers[CustomerID],0))</f>
        <v>USA</v>
      </c>
      <c r="I11">
        <v>5</v>
      </c>
      <c r="J11" t="str">
        <f>_xlfn.XLOOKUP(Orders__2[[#This Row],[SalesPersonID]],Employees[EmployeeID],Employees[FullName],"not found",0)</f>
        <v>Carol Baker</v>
      </c>
      <c r="K11" t="str">
        <f>_xlfn.XLOOKUP(Orders__2[[#This Row],[SalesPersonID]],Employees[EmployeeID],Employees[Department],"not found",0)</f>
        <v>Sales</v>
      </c>
      <c r="L11" s="1">
        <v>45413</v>
      </c>
      <c r="M11" s="1">
        <v>45417</v>
      </c>
      <c r="N11" t="s">
        <v>46</v>
      </c>
      <c r="O11" t="s">
        <v>61</v>
      </c>
      <c r="P11" t="s">
        <v>62</v>
      </c>
      <c r="Q11">
        <v>1</v>
      </c>
      <c r="R11">
        <f>Orders__2[[#This Row],[Price]]*Orders__2[[#This Row],[Quantity]]</f>
        <v>25</v>
      </c>
      <c r="S11">
        <v>25</v>
      </c>
      <c r="T11">
        <f>_xlfn.DAYS(Orders__2[[#This Row],[ShipDate]],Orders__2[[#This Row],[OrderDate]])</f>
        <v>4</v>
      </c>
      <c r="U11">
        <f>YEAR(Orders__2[[#This Row],[OrderDate]])</f>
        <v>2024</v>
      </c>
    </row>
    <row r="12" spans="1:33" x14ac:dyDescent="0.3">
      <c r="A12">
        <v>5</v>
      </c>
      <c r="B12">
        <v>104</v>
      </c>
      <c r="C12" t="str">
        <f>VLOOKUP(Orders__2[[#This Row],[ProductID]],Products[[ProductID]:[Product]],2,0)</f>
        <v>Caps</v>
      </c>
      <c r="D12" t="str">
        <f>INDEX(Products[Category],MATCH(Orders__2[[#This Row],[ProductID]],Products[ProductID]))</f>
        <v>Clothing</v>
      </c>
      <c r="E12">
        <f>_xlfn.XLOOKUP(Orders__2[[#This Row],[ProductID]],Products[ProductID],Products[Price],"not found",0)</f>
        <v>25</v>
      </c>
      <c r="F12">
        <v>2</v>
      </c>
      <c r="G12" t="str">
        <f>VLOOKUP(Orders__2[[#This Row],[CustomerID]],Customers[[#All],[CustomerID]:[FullName]],6,FALSE)</f>
        <v>Kevin Brown</v>
      </c>
      <c r="H12" t="str">
        <f>INDEX(Customers[Country],MATCH(Orders__2[[#This Row],[CustomerID]],Customers[CustomerID],0))</f>
        <v>USA</v>
      </c>
      <c r="I12">
        <v>5</v>
      </c>
      <c r="J12" t="str">
        <f>_xlfn.XLOOKUP(Orders__2[[#This Row],[SalesPersonID]],Employees[EmployeeID],Employees[FullName],"not found",0)</f>
        <v>Carol Baker</v>
      </c>
      <c r="K12" t="str">
        <f>_xlfn.XLOOKUP(Orders__2[[#This Row],[SalesPersonID]],Employees[EmployeeID],Employees[Department],"not found",0)</f>
        <v>Sales</v>
      </c>
      <c r="L12" s="1">
        <v>45689</v>
      </c>
      <c r="M12" s="1">
        <v>45693</v>
      </c>
      <c r="N12" t="s">
        <v>43</v>
      </c>
      <c r="O12" t="s">
        <v>135</v>
      </c>
      <c r="P12" t="s">
        <v>135</v>
      </c>
      <c r="Q12">
        <v>1</v>
      </c>
      <c r="R12">
        <f>Orders__2[[#This Row],[Price]]*Orders__2[[#This Row],[Quantity]]</f>
        <v>25</v>
      </c>
      <c r="S12">
        <v>25</v>
      </c>
      <c r="T12">
        <f>_xlfn.DAYS(Orders__2[[#This Row],[ShipDate]],Orders__2[[#This Row],[OrderDate]])</f>
        <v>4</v>
      </c>
      <c r="U12">
        <f>YEAR(Orders__2[[#This Row],[OrderDate]])</f>
        <v>2025</v>
      </c>
    </row>
    <row r="13" spans="1:33" x14ac:dyDescent="0.3">
      <c r="A13">
        <v>6</v>
      </c>
      <c r="B13">
        <v>104</v>
      </c>
      <c r="C13" t="str">
        <f>VLOOKUP(Orders__2[[#This Row],[ProductID]],Products[[ProductID]:[Product]],2,0)</f>
        <v>Caps</v>
      </c>
      <c r="D13" t="str">
        <f>INDEX(Products[Category],MATCH(Orders__2[[#This Row],[ProductID]],Products[ProductID]))</f>
        <v>Clothing</v>
      </c>
      <c r="E13">
        <f>_xlfn.XLOOKUP(Orders__2[[#This Row],[ProductID]],Products[ProductID],Products[Price],"not found",0)</f>
        <v>25</v>
      </c>
      <c r="F13">
        <v>3</v>
      </c>
      <c r="G13" t="str">
        <f>VLOOKUP(Orders__2[[#This Row],[CustomerID]],Customers[[#All],[CustomerID]:[FullName]],6,FALSE)</f>
        <v>Mary</v>
      </c>
      <c r="H13" t="str">
        <f>INDEX(Customers[Country],MATCH(Orders__2[[#This Row],[CustomerID]],Customers[CustomerID],0))</f>
        <v>USA</v>
      </c>
      <c r="I13">
        <v>5</v>
      </c>
      <c r="J13" t="str">
        <f>_xlfn.XLOOKUP(Orders__2[[#This Row],[SalesPersonID]],Employees[EmployeeID],Employees[FullName],"not found",0)</f>
        <v>Carol Baker</v>
      </c>
      <c r="K13" t="str">
        <f>_xlfn.XLOOKUP(Orders__2[[#This Row],[SalesPersonID]],Employees[EmployeeID],Employees[Department],"not found",0)</f>
        <v>Sales</v>
      </c>
      <c r="L13" s="1">
        <v>45417</v>
      </c>
      <c r="M13" s="1">
        <v>45422</v>
      </c>
      <c r="N13" t="s">
        <v>43</v>
      </c>
      <c r="O13" t="s">
        <v>63</v>
      </c>
      <c r="P13" t="s">
        <v>135</v>
      </c>
      <c r="Q13">
        <v>2</v>
      </c>
      <c r="R13">
        <f>Orders__2[[#This Row],[Price]]*Orders__2[[#This Row],[Quantity]]</f>
        <v>50</v>
      </c>
      <c r="S13">
        <v>50</v>
      </c>
      <c r="T13">
        <f>_xlfn.DAYS(Orders__2[[#This Row],[ShipDate]],Orders__2[[#This Row],[OrderDate]])</f>
        <v>5</v>
      </c>
      <c r="U13">
        <f>YEAR(Orders__2[[#This Row],[OrderDate]])</f>
        <v>2024</v>
      </c>
    </row>
    <row r="14" spans="1:33" x14ac:dyDescent="0.3">
      <c r="A14">
        <v>6</v>
      </c>
      <c r="B14">
        <v>104</v>
      </c>
      <c r="C14" t="str">
        <f>VLOOKUP(Orders__2[[#This Row],[ProductID]],Products[[ProductID]:[Product]],2,0)</f>
        <v>Caps</v>
      </c>
      <c r="D14" t="str">
        <f>INDEX(Products[Category],MATCH(Orders__2[[#This Row],[ProductID]],Products[ProductID]))</f>
        <v>Clothing</v>
      </c>
      <c r="E14">
        <f>_xlfn.XLOOKUP(Orders__2[[#This Row],[ProductID]],Products[ProductID],Products[Price],"not found",0)</f>
        <v>25</v>
      </c>
      <c r="F14">
        <v>3</v>
      </c>
      <c r="G14" t="str">
        <f>VLOOKUP(Orders__2[[#This Row],[CustomerID]],Customers[[#All],[CustomerID]:[FullName]],6,FALSE)</f>
        <v>Mary</v>
      </c>
      <c r="H14" t="str">
        <f>INDEX(Customers[Country],MATCH(Orders__2[[#This Row],[CustomerID]],Customers[CustomerID],0))</f>
        <v>USA</v>
      </c>
      <c r="I14">
        <v>5</v>
      </c>
      <c r="J14" t="str">
        <f>_xlfn.XLOOKUP(Orders__2[[#This Row],[SalesPersonID]],Employees[EmployeeID],Employees[FullName],"not found",0)</f>
        <v>Carol Baker</v>
      </c>
      <c r="K14" t="str">
        <f>_xlfn.XLOOKUP(Orders__2[[#This Row],[SalesPersonID]],Employees[EmployeeID],Employees[Department],"not found",0)</f>
        <v>Sales</v>
      </c>
      <c r="L14" s="1">
        <v>45417</v>
      </c>
      <c r="M14" s="1">
        <v>45422</v>
      </c>
      <c r="N14" t="s">
        <v>43</v>
      </c>
      <c r="O14" t="s">
        <v>63</v>
      </c>
      <c r="P14" t="s">
        <v>54</v>
      </c>
      <c r="Q14">
        <v>2</v>
      </c>
      <c r="R14">
        <f>Orders__2[[#This Row],[Price]]*Orders__2[[#This Row],[Quantity]]</f>
        <v>50</v>
      </c>
      <c r="S14">
        <v>50</v>
      </c>
      <c r="T14">
        <f>_xlfn.DAYS(Orders__2[[#This Row],[ShipDate]],Orders__2[[#This Row],[OrderDate]])</f>
        <v>5</v>
      </c>
      <c r="U14">
        <f>YEAR(Orders__2[[#This Row],[OrderDate]])</f>
        <v>2024</v>
      </c>
    </row>
    <row r="15" spans="1:33" x14ac:dyDescent="0.3">
      <c r="A15">
        <v>6</v>
      </c>
      <c r="B15">
        <v>101</v>
      </c>
      <c r="C15" t="str">
        <f>VLOOKUP(Orders__2[[#This Row],[ProductID]],Products[[ProductID]:[Product]],2,0)</f>
        <v>Bottle</v>
      </c>
      <c r="D15" t="str">
        <f>INDEX(Products[Category],MATCH(Orders__2[[#This Row],[ProductID]],Products[ProductID]))</f>
        <v>Accessories</v>
      </c>
      <c r="E15">
        <f>_xlfn.XLOOKUP(Orders__2[[#This Row],[ProductID]],Products[ProductID],Products[Price],"not found",0)</f>
        <v>10</v>
      </c>
      <c r="F15">
        <v>3</v>
      </c>
      <c r="G15" t="str">
        <f>VLOOKUP(Orders__2[[#This Row],[CustomerID]],Customers[[#All],[CustomerID]:[FullName]],6,FALSE)</f>
        <v>Mary</v>
      </c>
      <c r="H15" t="str">
        <f>INDEX(Customers[Country],MATCH(Orders__2[[#This Row],[CustomerID]],Customers[CustomerID],0))</f>
        <v>USA</v>
      </c>
      <c r="I15">
        <v>5</v>
      </c>
      <c r="J15" t="str">
        <f>_xlfn.XLOOKUP(Orders__2[[#This Row],[SalesPersonID]],Employees[EmployeeID],Employees[FullName],"not found",0)</f>
        <v>Carol Baker</v>
      </c>
      <c r="K15" t="str">
        <f>_xlfn.XLOOKUP(Orders__2[[#This Row],[SalesPersonID]],Employees[EmployeeID],Employees[Department],"not found",0)</f>
        <v>Sales</v>
      </c>
      <c r="L15" s="1">
        <v>45417</v>
      </c>
      <c r="M15" s="1">
        <v>45422</v>
      </c>
      <c r="N15" t="s">
        <v>43</v>
      </c>
      <c r="O15" t="s">
        <v>63</v>
      </c>
      <c r="P15" t="s">
        <v>54</v>
      </c>
      <c r="Q15">
        <v>2</v>
      </c>
      <c r="R15">
        <f>Orders__2[[#This Row],[Price]]*Orders__2[[#This Row],[Quantity]]</f>
        <v>20</v>
      </c>
      <c r="S15">
        <v>50</v>
      </c>
      <c r="T15">
        <f>_xlfn.DAYS(Orders__2[[#This Row],[ShipDate]],Orders__2[[#This Row],[OrderDate]])</f>
        <v>5</v>
      </c>
      <c r="U15">
        <f>YEAR(Orders__2[[#This Row],[OrderDate]])</f>
        <v>2024</v>
      </c>
    </row>
    <row r="16" spans="1:33" x14ac:dyDescent="0.3">
      <c r="A16">
        <v>6</v>
      </c>
      <c r="B16">
        <v>104</v>
      </c>
      <c r="C16" t="str">
        <f>VLOOKUP(Orders__2[[#This Row],[ProductID]],Products[[ProductID]:[Product]],2,0)</f>
        <v>Caps</v>
      </c>
      <c r="D16" t="str">
        <f>INDEX(Products[Category],MATCH(Orders__2[[#This Row],[ProductID]],Products[ProductID]))</f>
        <v>Clothing</v>
      </c>
      <c r="E16">
        <f>_xlfn.XLOOKUP(Orders__2[[#This Row],[ProductID]],Products[ProductID],Products[Price],"not found",0)</f>
        <v>25</v>
      </c>
      <c r="F16">
        <v>3</v>
      </c>
      <c r="G16" t="str">
        <f>VLOOKUP(Orders__2[[#This Row],[CustomerID]],Customers[[#All],[CustomerID]:[FullName]],6,FALSE)</f>
        <v>Mary</v>
      </c>
      <c r="H16" t="str">
        <f>INDEX(Customers[Country],MATCH(Orders__2[[#This Row],[CustomerID]],Customers[CustomerID],0))</f>
        <v>USA</v>
      </c>
      <c r="I16">
        <v>5</v>
      </c>
      <c r="J16" t="str">
        <f>_xlfn.XLOOKUP(Orders__2[[#This Row],[SalesPersonID]],Employees[EmployeeID],Employees[FullName],"not found",0)</f>
        <v>Carol Baker</v>
      </c>
      <c r="K16" t="str">
        <f>_xlfn.XLOOKUP(Orders__2[[#This Row],[SalesPersonID]],Employees[EmployeeID],Employees[Department],"not found",0)</f>
        <v>Sales</v>
      </c>
      <c r="L16" s="1">
        <v>45693</v>
      </c>
      <c r="M16" s="1">
        <v>45698</v>
      </c>
      <c r="N16" t="s">
        <v>43</v>
      </c>
      <c r="O16" t="s">
        <v>50</v>
      </c>
      <c r="P16" t="s">
        <v>135</v>
      </c>
      <c r="Q16">
        <v>2</v>
      </c>
      <c r="R16">
        <f>Orders__2[[#This Row],[Price]]*Orders__2[[#This Row],[Quantity]]</f>
        <v>50</v>
      </c>
      <c r="S16">
        <v>50</v>
      </c>
      <c r="T16">
        <f>_xlfn.DAYS(Orders__2[[#This Row],[ShipDate]],Orders__2[[#This Row],[OrderDate]])</f>
        <v>5</v>
      </c>
      <c r="U16">
        <f>YEAR(Orders__2[[#This Row],[OrderDate]])</f>
        <v>2025</v>
      </c>
    </row>
    <row r="17" spans="1:21" x14ac:dyDescent="0.3">
      <c r="A17">
        <v>7</v>
      </c>
      <c r="B17">
        <v>102</v>
      </c>
      <c r="C17" t="str">
        <f>VLOOKUP(Orders__2[[#This Row],[ProductID]],Products[[ProductID]:[Product]],2,0)</f>
        <v>Tire</v>
      </c>
      <c r="D17" t="str">
        <f>INDEX(Products[Category],MATCH(Orders__2[[#This Row],[ProductID]],Products[ProductID]))</f>
        <v>Accessories</v>
      </c>
      <c r="E17">
        <f>_xlfn.XLOOKUP(Orders__2[[#This Row],[ProductID]],Products[ProductID],Products[Price],"not found",0)</f>
        <v>15</v>
      </c>
      <c r="F17">
        <v>3</v>
      </c>
      <c r="G17" t="str">
        <f>VLOOKUP(Orders__2[[#This Row],[CustomerID]],Customers[[#All],[CustomerID]:[FullName]],6,FALSE)</f>
        <v>Mary</v>
      </c>
      <c r="H17" t="str">
        <f>INDEX(Customers[Country],MATCH(Orders__2[[#This Row],[CustomerID]],Customers[CustomerID],0))</f>
        <v>USA</v>
      </c>
      <c r="I17">
        <v>5</v>
      </c>
      <c r="J17" t="str">
        <f>_xlfn.XLOOKUP(Orders__2[[#This Row],[SalesPersonID]],Employees[EmployeeID],Employees[FullName],"not found",0)</f>
        <v>Carol Baker</v>
      </c>
      <c r="K17" t="str">
        <f>_xlfn.XLOOKUP(Orders__2[[#This Row],[SalesPersonID]],Employees[EmployeeID],Employees[Department],"not found",0)</f>
        <v>Sales</v>
      </c>
      <c r="L17" s="1">
        <v>45458</v>
      </c>
      <c r="M17" s="1">
        <v>45463</v>
      </c>
      <c r="N17" t="s">
        <v>46</v>
      </c>
      <c r="O17" t="s">
        <v>64</v>
      </c>
      <c r="P17" t="s">
        <v>65</v>
      </c>
      <c r="Q17">
        <v>0</v>
      </c>
      <c r="R17">
        <f>Orders__2[[#This Row],[Price]]*Orders__2[[#This Row],[Quantity]]</f>
        <v>0</v>
      </c>
      <c r="S17">
        <v>60</v>
      </c>
      <c r="T17">
        <f>_xlfn.DAYS(Orders__2[[#This Row],[ShipDate]],Orders__2[[#This Row],[OrderDate]])</f>
        <v>5</v>
      </c>
      <c r="U17">
        <f>YEAR(Orders__2[[#This Row],[OrderDate]])</f>
        <v>2024</v>
      </c>
    </row>
    <row r="18" spans="1:21" x14ac:dyDescent="0.3">
      <c r="A18">
        <v>7</v>
      </c>
      <c r="B18">
        <v>102</v>
      </c>
      <c r="C18" t="str">
        <f>VLOOKUP(Orders__2[[#This Row],[ProductID]],Products[[ProductID]:[Product]],2,0)</f>
        <v>Tire</v>
      </c>
      <c r="D18" t="str">
        <f>INDEX(Products[Category],MATCH(Orders__2[[#This Row],[ProductID]],Products[ProductID]))</f>
        <v>Accessories</v>
      </c>
      <c r="E18">
        <f>_xlfn.XLOOKUP(Orders__2[[#This Row],[ProductID]],Products[ProductID],Products[Price],"not found",0)</f>
        <v>15</v>
      </c>
      <c r="F18">
        <v>1</v>
      </c>
      <c r="G18" t="str">
        <f>VLOOKUP(Orders__2[[#This Row],[CustomerID]],Customers[[#All],[CustomerID]:[FullName]],6,FALSE)</f>
        <v>Jossef Goldberg</v>
      </c>
      <c r="H18" t="str">
        <f>INDEX(Customers[Country],MATCH(Orders__2[[#This Row],[CustomerID]],Customers[CustomerID],0))</f>
        <v>Germany</v>
      </c>
      <c r="I18">
        <v>1</v>
      </c>
      <c r="J18" t="str">
        <f>_xlfn.XLOOKUP(Orders__2[[#This Row],[SalesPersonID]],Employees[EmployeeID],Employees[FullName],"not found",0)</f>
        <v>Frank Lee</v>
      </c>
      <c r="K18" t="str">
        <f>_xlfn.XLOOKUP(Orders__2[[#This Row],[SalesPersonID]],Employees[EmployeeID],Employees[Department],"not found",0)</f>
        <v>Marketing</v>
      </c>
      <c r="L18" s="1">
        <v>45703</v>
      </c>
      <c r="M18" s="1">
        <v>45715</v>
      </c>
      <c r="N18" t="s">
        <v>43</v>
      </c>
      <c r="O18" t="s">
        <v>51</v>
      </c>
      <c r="P18" t="s">
        <v>135</v>
      </c>
      <c r="Q18">
        <v>2</v>
      </c>
      <c r="R18">
        <f>Orders__2[[#This Row],[Price]]*Orders__2[[#This Row],[Quantity]]</f>
        <v>30</v>
      </c>
      <c r="S18">
        <v>30</v>
      </c>
      <c r="T18">
        <f>_xlfn.DAYS(Orders__2[[#This Row],[ShipDate]],Orders__2[[#This Row],[OrderDate]])</f>
        <v>12</v>
      </c>
      <c r="U18">
        <f>YEAR(Orders__2[[#This Row],[OrderDate]])</f>
        <v>2025</v>
      </c>
    </row>
    <row r="19" spans="1:21" x14ac:dyDescent="0.3">
      <c r="A19">
        <v>8</v>
      </c>
      <c r="B19">
        <v>101</v>
      </c>
      <c r="C19" t="str">
        <f>VLOOKUP(Orders__2[[#This Row],[ProductID]],Products[[ProductID]:[Product]],2,0)</f>
        <v>Bottle</v>
      </c>
      <c r="D19" t="str">
        <f>INDEX(Products[Category],MATCH(Orders__2[[#This Row],[ProductID]],Products[ProductID]))</f>
        <v>Accessories</v>
      </c>
      <c r="E19">
        <f>_xlfn.XLOOKUP(Orders__2[[#This Row],[ProductID]],Products[ProductID],Products[Price],"not found",0)</f>
        <v>10</v>
      </c>
      <c r="F19">
        <v>4</v>
      </c>
      <c r="G19" t="str">
        <f>VLOOKUP(Orders__2[[#This Row],[CustomerID]],Customers[[#All],[CustomerID]:[FullName]],6,FALSE)</f>
        <v>Mark Schwarz</v>
      </c>
      <c r="H19" t="str">
        <f>INDEX(Customers[Country],MATCH(Orders__2[[#This Row],[CustomerID]],Customers[CustomerID],0))</f>
        <v>Germany</v>
      </c>
      <c r="I19">
        <v>3</v>
      </c>
      <c r="J19" t="str">
        <f>_xlfn.XLOOKUP(Orders__2[[#This Row],[SalesPersonID]],Employees[EmployeeID],Employees[FullName],"not found",0)</f>
        <v>Mary</v>
      </c>
      <c r="K19" t="str">
        <f>_xlfn.XLOOKUP(Orders__2[[#This Row],[SalesPersonID]],Employees[EmployeeID],Employees[Department],"not found",0)</f>
        <v>Sales</v>
      </c>
      <c r="L19" s="1">
        <v>45706</v>
      </c>
      <c r="M19" s="1">
        <v>45715</v>
      </c>
      <c r="N19" t="s">
        <v>46</v>
      </c>
      <c r="O19" t="s">
        <v>52</v>
      </c>
      <c r="P19" t="s">
        <v>53</v>
      </c>
      <c r="Q19">
        <v>3</v>
      </c>
      <c r="R19">
        <f>Orders__2[[#This Row],[Price]]*Orders__2[[#This Row],[Quantity]]</f>
        <v>30</v>
      </c>
      <c r="S19">
        <v>90</v>
      </c>
      <c r="T19">
        <f>_xlfn.DAYS(Orders__2[[#This Row],[ShipDate]],Orders__2[[#This Row],[OrderDate]])</f>
        <v>9</v>
      </c>
      <c r="U19">
        <f>YEAR(Orders__2[[#This Row],[OrderDate]])</f>
        <v>2025</v>
      </c>
    </row>
    <row r="20" spans="1:21" x14ac:dyDescent="0.3">
      <c r="A20">
        <v>9</v>
      </c>
      <c r="B20">
        <v>101</v>
      </c>
      <c r="C20" t="str">
        <f>VLOOKUP(Orders__2[[#This Row],[ProductID]],Products[[ProductID]:[Product]],2,0)</f>
        <v>Bottle</v>
      </c>
      <c r="D20" t="str">
        <f>INDEX(Products[Category],MATCH(Orders__2[[#This Row],[ProductID]],Products[ProductID]))</f>
        <v>Accessories</v>
      </c>
      <c r="E20">
        <f>_xlfn.XLOOKUP(Orders__2[[#This Row],[ProductID]],Products[ProductID],Products[Price],"not found",0)</f>
        <v>10</v>
      </c>
      <c r="F20">
        <v>2</v>
      </c>
      <c r="G20" t="str">
        <f>VLOOKUP(Orders__2[[#This Row],[CustomerID]],Customers[[#All],[CustomerID]:[FullName]],6,FALSE)</f>
        <v>Kevin Brown</v>
      </c>
      <c r="H20" t="str">
        <f>INDEX(Customers[Country],MATCH(Orders__2[[#This Row],[CustomerID]],Customers[CustomerID],0))</f>
        <v>USA</v>
      </c>
      <c r="I20">
        <v>3</v>
      </c>
      <c r="J20" t="str">
        <f>_xlfn.XLOOKUP(Orders__2[[#This Row],[SalesPersonID]],Employees[EmployeeID],Employees[FullName],"not found",0)</f>
        <v>Mary</v>
      </c>
      <c r="K20" t="str">
        <f>_xlfn.XLOOKUP(Orders__2[[#This Row],[SalesPersonID]],Employees[EmployeeID],Employees[Department],"not found",0)</f>
        <v>Sales</v>
      </c>
      <c r="L20" s="1">
        <v>45726</v>
      </c>
      <c r="M20" s="1">
        <v>45731</v>
      </c>
      <c r="N20" t="s">
        <v>46</v>
      </c>
      <c r="O20" t="s">
        <v>54</v>
      </c>
      <c r="P20" t="s">
        <v>135</v>
      </c>
      <c r="Q20">
        <v>2</v>
      </c>
      <c r="R20">
        <f>Orders__2[[#This Row],[Price]]*Orders__2[[#This Row],[Quantity]]</f>
        <v>20</v>
      </c>
      <c r="S20">
        <v>20</v>
      </c>
      <c r="T20">
        <f>_xlfn.DAYS(Orders__2[[#This Row],[ShipDate]],Orders__2[[#This Row],[OrderDate]])</f>
        <v>5</v>
      </c>
      <c r="U20">
        <f>YEAR(Orders__2[[#This Row],[OrderDate]])</f>
        <v>2025</v>
      </c>
    </row>
    <row r="21" spans="1:21" x14ac:dyDescent="0.3">
      <c r="A21">
        <v>10</v>
      </c>
      <c r="B21">
        <v>102</v>
      </c>
      <c r="C21" t="str">
        <f>VLOOKUP(Orders__2[[#This Row],[ProductID]],Products[[ProductID]:[Product]],2,0)</f>
        <v>Tire</v>
      </c>
      <c r="D21" t="str">
        <f>INDEX(Products[Category],MATCH(Orders__2[[#This Row],[ProductID]],Products[ProductID]))</f>
        <v>Accessories</v>
      </c>
      <c r="E21">
        <f>_xlfn.XLOOKUP(Orders__2[[#This Row],[ProductID]],Products[ProductID],Products[Price],"not found",0)</f>
        <v>15</v>
      </c>
      <c r="F21">
        <v>3</v>
      </c>
      <c r="G21" t="str">
        <f>VLOOKUP(Orders__2[[#This Row],[CustomerID]],Customers[[#All],[CustomerID]:[FullName]],6,FALSE)</f>
        <v>Mary</v>
      </c>
      <c r="H21" t="str">
        <f>INDEX(Customers[Country],MATCH(Orders__2[[#This Row],[CustomerID]],Customers[CustomerID],0))</f>
        <v>USA</v>
      </c>
      <c r="I21">
        <v>5</v>
      </c>
      <c r="J21" t="str">
        <f>_xlfn.XLOOKUP(Orders__2[[#This Row],[SalesPersonID]],Employees[EmployeeID],Employees[FullName],"not found",0)</f>
        <v>Carol Baker</v>
      </c>
      <c r="K21" t="str">
        <f>_xlfn.XLOOKUP(Orders__2[[#This Row],[SalesPersonID]],Employees[EmployeeID],Employees[Department],"not found",0)</f>
        <v>Sales</v>
      </c>
      <c r="L21" s="1">
        <v>45731</v>
      </c>
      <c r="M21" s="1">
        <v>45736</v>
      </c>
      <c r="N21" t="s">
        <v>46</v>
      </c>
      <c r="O21" t="s">
        <v>135</v>
      </c>
      <c r="P21" t="s">
        <v>135</v>
      </c>
      <c r="Q21">
        <v>0</v>
      </c>
      <c r="R21">
        <f>Orders__2[[#This Row],[Price]]*Orders__2[[#This Row],[Quantity]]</f>
        <v>0</v>
      </c>
      <c r="S21">
        <v>60</v>
      </c>
      <c r="T21">
        <f>_xlfn.DAYS(Orders__2[[#This Row],[ShipDate]],Orders__2[[#This Row],[OrderDate]])</f>
        <v>5</v>
      </c>
      <c r="U21">
        <f>YEAR(Orders__2[[#This Row],[OrderDate]])</f>
        <v>2025</v>
      </c>
    </row>
  </sheetData>
  <mergeCells count="6">
    <mergeCell ref="X6:AG6"/>
    <mergeCell ref="X1:AG1"/>
    <mergeCell ref="X2:AG2"/>
    <mergeCell ref="X3:AG3"/>
    <mergeCell ref="X4:AG4"/>
    <mergeCell ref="X5:AG5"/>
  </mergeCells>
  <phoneticPr fontId="2" type="noConversion"/>
  <conditionalFormatting sqref="A2:U21">
    <cfRule type="expression" dxfId="5" priority="1">
      <formula>$R2&lt;&gt;$S2</formula>
    </cfRule>
  </conditionalFormatting>
  <conditionalFormatting sqref="M12">
    <cfRule type="containsText" dxfId="4" priority="3" operator="containsText" text="Shipped">
      <formula>NOT(ISERROR(SEARCH("Shipped",M12)))</formula>
    </cfRule>
  </conditionalFormatting>
  <conditionalFormatting sqref="N2:N21">
    <cfRule type="containsText" dxfId="3" priority="2" operator="containsText" text="Shipped">
      <formula>NOT(ISERROR(SEARCH("Shipped",N2)))</formula>
    </cfRule>
    <cfRule type="containsText" dxfId="2" priority="4" operator="containsText" text="Delivered">
      <formula>NOT(ISERROR(SEARCH("Delivered",N2)))</formula>
    </cfRule>
  </conditionalFormatting>
  <conditionalFormatting sqref="Q1:Q21">
    <cfRule type="cellIs" dxfId="1" priority="6" operator="equal">
      <formula>0</formula>
    </cfRule>
  </conditionalFormatting>
  <conditionalFormatting sqref="T2:T21">
    <cfRule type="cellIs" dxfId="0" priority="5" operator="greaterThan">
      <formula>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11E1-76CF-4F9A-9ED1-626EF4873104}">
  <sheetPr>
    <tabColor theme="2" tint="-0.249977111117893"/>
  </sheetPr>
  <dimension ref="C1:L24"/>
  <sheetViews>
    <sheetView showGridLines="0" workbookViewId="0">
      <selection activeCell="K21" sqref="K21"/>
    </sheetView>
  </sheetViews>
  <sheetFormatPr defaultRowHeight="14.4" x14ac:dyDescent="0.3"/>
  <cols>
    <col min="1" max="1" width="12.44140625" customWidth="1"/>
    <col min="2" max="2" width="8.6640625" customWidth="1"/>
    <col min="3" max="3" width="10.88671875" bestFit="1" customWidth="1"/>
    <col min="4" max="4" width="11.5546875" bestFit="1" customWidth="1"/>
    <col min="5" max="5" width="8.6640625" customWidth="1"/>
    <col min="6" max="6" width="11.5546875" bestFit="1" customWidth="1"/>
    <col min="7" max="7" width="12" bestFit="1" customWidth="1"/>
    <col min="8" max="8" width="5" bestFit="1" customWidth="1"/>
    <col min="9" max="9" width="10.5546875" bestFit="1" customWidth="1"/>
    <col min="10" max="10" width="9.88671875" customWidth="1"/>
    <col min="11" max="11" width="13.44140625" bestFit="1" customWidth="1"/>
    <col min="12" max="12" width="21.6640625" bestFit="1" customWidth="1"/>
    <col min="14" max="15" width="11.5546875" bestFit="1" customWidth="1"/>
    <col min="16" max="16" width="12" bestFit="1" customWidth="1"/>
    <col min="17" max="17" width="5" bestFit="1" customWidth="1"/>
    <col min="18" max="18" width="10.5546875" bestFit="1" customWidth="1"/>
  </cols>
  <sheetData>
    <row r="1" spans="3:12" x14ac:dyDescent="0.3">
      <c r="C1" s="17" t="s">
        <v>151</v>
      </c>
      <c r="D1" s="19"/>
      <c r="F1" s="17" t="s">
        <v>154</v>
      </c>
      <c r="G1" s="19"/>
      <c r="H1" s="19"/>
      <c r="I1" s="19"/>
      <c r="K1" s="17" t="s">
        <v>155</v>
      </c>
      <c r="L1" s="19"/>
    </row>
    <row r="2" spans="3:12" x14ac:dyDescent="0.3">
      <c r="C2" s="19"/>
      <c r="D2" s="19"/>
      <c r="F2" s="19"/>
      <c r="G2" s="19"/>
      <c r="H2" s="19"/>
      <c r="I2" s="19"/>
      <c r="K2" s="19"/>
      <c r="L2" s="19"/>
    </row>
    <row r="3" spans="3:12" x14ac:dyDescent="0.3">
      <c r="C3" s="12" t="s">
        <v>67</v>
      </c>
      <c r="D3" t="s">
        <v>146</v>
      </c>
      <c r="F3" s="12" t="s">
        <v>146</v>
      </c>
      <c r="G3" s="12" t="s">
        <v>137</v>
      </c>
      <c r="K3" s="12" t="s">
        <v>3</v>
      </c>
      <c r="L3" t="s">
        <v>146</v>
      </c>
    </row>
    <row r="4" spans="3:12" x14ac:dyDescent="0.3">
      <c r="C4" s="13" t="s">
        <v>70</v>
      </c>
      <c r="D4">
        <v>400</v>
      </c>
      <c r="F4" s="12" t="s">
        <v>66</v>
      </c>
      <c r="G4">
        <v>2024</v>
      </c>
      <c r="H4">
        <v>2025</v>
      </c>
      <c r="I4" t="s">
        <v>145</v>
      </c>
      <c r="K4" s="13" t="s">
        <v>7</v>
      </c>
      <c r="L4">
        <v>340</v>
      </c>
    </row>
    <row r="5" spans="3:12" x14ac:dyDescent="0.3">
      <c r="C5" s="13" t="s">
        <v>73</v>
      </c>
      <c r="D5">
        <v>380</v>
      </c>
      <c r="F5" s="13" t="s">
        <v>69</v>
      </c>
      <c r="G5">
        <v>80</v>
      </c>
      <c r="H5">
        <v>140</v>
      </c>
      <c r="I5">
        <v>220</v>
      </c>
      <c r="K5" s="13" t="s">
        <v>10</v>
      </c>
      <c r="L5">
        <v>440</v>
      </c>
    </row>
    <row r="6" spans="3:12" x14ac:dyDescent="0.3">
      <c r="C6" s="13" t="s">
        <v>145</v>
      </c>
      <c r="D6">
        <v>780</v>
      </c>
      <c r="F6" s="13" t="s">
        <v>74</v>
      </c>
      <c r="G6">
        <v>125</v>
      </c>
      <c r="H6">
        <v>75</v>
      </c>
      <c r="I6">
        <v>200</v>
      </c>
      <c r="K6" s="13" t="s">
        <v>145</v>
      </c>
      <c r="L6">
        <v>780</v>
      </c>
    </row>
    <row r="7" spans="3:12" x14ac:dyDescent="0.3">
      <c r="F7" s="13" t="s">
        <v>75</v>
      </c>
      <c r="G7">
        <v>120</v>
      </c>
      <c r="H7">
        <v>60</v>
      </c>
      <c r="I7">
        <v>180</v>
      </c>
    </row>
    <row r="8" spans="3:12" x14ac:dyDescent="0.3">
      <c r="F8" s="13" t="s">
        <v>71</v>
      </c>
      <c r="G8">
        <v>75</v>
      </c>
      <c r="H8">
        <v>105</v>
      </c>
      <c r="I8">
        <v>180</v>
      </c>
    </row>
    <row r="9" spans="3:12" x14ac:dyDescent="0.3">
      <c r="F9" s="13" t="s">
        <v>145</v>
      </c>
      <c r="G9">
        <v>400</v>
      </c>
      <c r="H9">
        <v>380</v>
      </c>
      <c r="I9">
        <v>780</v>
      </c>
    </row>
    <row r="10" spans="3:12" x14ac:dyDescent="0.3">
      <c r="C10" s="17" t="s">
        <v>153</v>
      </c>
      <c r="D10" s="19"/>
      <c r="K10" s="17" t="s">
        <v>156</v>
      </c>
      <c r="L10" s="19"/>
    </row>
    <row r="11" spans="3:12" x14ac:dyDescent="0.3">
      <c r="C11" s="19"/>
      <c r="D11" s="19"/>
      <c r="K11" s="19"/>
      <c r="L11" s="19"/>
    </row>
    <row r="12" spans="3:12" x14ac:dyDescent="0.3">
      <c r="C12" s="12" t="s">
        <v>152</v>
      </c>
      <c r="D12" t="s">
        <v>146</v>
      </c>
      <c r="K12" s="12" t="s">
        <v>152</v>
      </c>
      <c r="L12" t="s">
        <v>150</v>
      </c>
    </row>
    <row r="13" spans="3:12" x14ac:dyDescent="0.3">
      <c r="C13" s="13" t="s">
        <v>147</v>
      </c>
      <c r="D13">
        <v>390</v>
      </c>
      <c r="K13" s="13" t="s">
        <v>147</v>
      </c>
      <c r="L13" s="10">
        <v>5.8888888888888893</v>
      </c>
    </row>
    <row r="14" spans="3:12" x14ac:dyDescent="0.3">
      <c r="C14" s="13" t="s">
        <v>148</v>
      </c>
      <c r="D14">
        <v>30</v>
      </c>
      <c r="F14" s="17" t="s">
        <v>163</v>
      </c>
      <c r="G14" s="18"/>
      <c r="H14" s="18"/>
      <c r="I14" s="18"/>
      <c r="K14" s="13" t="s">
        <v>148</v>
      </c>
      <c r="L14" s="10">
        <v>12</v>
      </c>
    </row>
    <row r="15" spans="3:12" x14ac:dyDescent="0.3">
      <c r="C15" s="13" t="s">
        <v>11</v>
      </c>
      <c r="D15">
        <v>340</v>
      </c>
      <c r="F15" s="18"/>
      <c r="G15" s="18"/>
      <c r="H15" s="18"/>
      <c r="I15" s="18"/>
      <c r="K15" s="13" t="s">
        <v>11</v>
      </c>
      <c r="L15" s="10">
        <v>5.2222222222222223</v>
      </c>
    </row>
    <row r="16" spans="3:12" x14ac:dyDescent="0.3">
      <c r="C16" s="13" t="s">
        <v>149</v>
      </c>
      <c r="D16">
        <v>20</v>
      </c>
      <c r="F16" s="12" t="s">
        <v>146</v>
      </c>
      <c r="G16" s="12" t="s">
        <v>137</v>
      </c>
      <c r="K16" s="13" t="s">
        <v>149</v>
      </c>
      <c r="L16" s="10">
        <v>15</v>
      </c>
    </row>
    <row r="17" spans="3:12" x14ac:dyDescent="0.3">
      <c r="C17" s="13" t="s">
        <v>145</v>
      </c>
      <c r="D17">
        <v>780</v>
      </c>
      <c r="F17" s="12" t="s">
        <v>66</v>
      </c>
      <c r="G17">
        <v>2024</v>
      </c>
      <c r="H17">
        <v>2025</v>
      </c>
      <c r="I17" t="s">
        <v>145</v>
      </c>
      <c r="K17" s="13" t="s">
        <v>145</v>
      </c>
      <c r="L17">
        <v>6.35</v>
      </c>
    </row>
    <row r="18" spans="3:12" x14ac:dyDescent="0.3">
      <c r="F18" s="13" t="s">
        <v>157</v>
      </c>
      <c r="H18">
        <v>105</v>
      </c>
      <c r="I18">
        <v>105</v>
      </c>
    </row>
    <row r="19" spans="3:12" x14ac:dyDescent="0.3">
      <c r="F19" s="13" t="s">
        <v>158</v>
      </c>
      <c r="H19">
        <v>195</v>
      </c>
      <c r="I19">
        <v>195</v>
      </c>
    </row>
    <row r="20" spans="3:12" x14ac:dyDescent="0.3">
      <c r="F20" s="13" t="s">
        <v>159</v>
      </c>
      <c r="H20">
        <v>80</v>
      </c>
      <c r="I20">
        <v>80</v>
      </c>
    </row>
    <row r="21" spans="3:12" x14ac:dyDescent="0.3">
      <c r="F21" s="13" t="s">
        <v>160</v>
      </c>
      <c r="G21">
        <v>165</v>
      </c>
      <c r="I21">
        <v>165</v>
      </c>
    </row>
    <row r="22" spans="3:12" x14ac:dyDescent="0.3">
      <c r="F22" s="13" t="s">
        <v>161</v>
      </c>
      <c r="G22">
        <v>175</v>
      </c>
      <c r="I22">
        <v>175</v>
      </c>
    </row>
    <row r="23" spans="3:12" x14ac:dyDescent="0.3">
      <c r="F23" s="13" t="s">
        <v>162</v>
      </c>
      <c r="G23">
        <v>60</v>
      </c>
      <c r="I23">
        <v>60</v>
      </c>
    </row>
    <row r="24" spans="3:12" x14ac:dyDescent="0.3">
      <c r="F24" s="13" t="s">
        <v>145</v>
      </c>
      <c r="G24">
        <v>400</v>
      </c>
      <c r="H24">
        <v>380</v>
      </c>
      <c r="I24">
        <v>780</v>
      </c>
    </row>
  </sheetData>
  <mergeCells count="6">
    <mergeCell ref="F14:I15"/>
    <mergeCell ref="C1:D2"/>
    <mergeCell ref="K1:L2"/>
    <mergeCell ref="C10:D11"/>
    <mergeCell ref="K10:L11"/>
    <mergeCell ref="F1: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9E4A-F7EE-4846-BE5B-E3F90A59B7A0}">
  <sheetPr>
    <tabColor rgb="FFFFFF00"/>
  </sheetPr>
  <dimension ref="D2:K4"/>
  <sheetViews>
    <sheetView showGridLines="0" tabSelected="1" topLeftCell="A6" workbookViewId="0">
      <selection activeCell="Q16" sqref="Q16"/>
    </sheetView>
  </sheetViews>
  <sheetFormatPr defaultRowHeight="14.4" x14ac:dyDescent="0.3"/>
  <sheetData>
    <row r="2" spans="4:11" x14ac:dyDescent="0.3">
      <c r="D2" s="20" t="s">
        <v>164</v>
      </c>
      <c r="E2" s="21"/>
      <c r="F2" s="21"/>
      <c r="G2" s="21"/>
      <c r="H2" s="21"/>
      <c r="I2" s="21"/>
      <c r="J2" s="21"/>
      <c r="K2" s="21"/>
    </row>
    <row r="3" spans="4:11" x14ac:dyDescent="0.3">
      <c r="D3" s="21"/>
      <c r="E3" s="21"/>
      <c r="F3" s="21"/>
      <c r="G3" s="21"/>
      <c r="H3" s="21"/>
      <c r="I3" s="21"/>
      <c r="J3" s="21"/>
      <c r="K3" s="21"/>
    </row>
    <row r="4" spans="4:11" x14ac:dyDescent="0.3">
      <c r="D4" s="21"/>
      <c r="E4" s="21"/>
      <c r="F4" s="21"/>
      <c r="G4" s="21"/>
      <c r="H4" s="21"/>
      <c r="I4" s="21"/>
      <c r="J4" s="21"/>
      <c r="K4" s="21"/>
    </row>
  </sheetData>
  <mergeCells count="1">
    <mergeCell ref="D2: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8BAD-1D27-49C4-A85D-138B893FD259}">
  <sheetPr>
    <tabColor theme="5" tint="0.39997558519241921"/>
  </sheetPr>
  <dimension ref="A1:V34"/>
  <sheetViews>
    <sheetView showGridLines="0" topLeftCell="A8" workbookViewId="0">
      <selection activeCell="V10" sqref="V10"/>
    </sheetView>
  </sheetViews>
  <sheetFormatPr defaultRowHeight="14.4" x14ac:dyDescent="0.3"/>
  <cols>
    <col min="1" max="1" width="20.44140625" customWidth="1"/>
    <col min="3" max="3" width="13" customWidth="1"/>
    <col min="4" max="4" width="6" customWidth="1"/>
    <col min="5" max="5" width="15.5546875" customWidth="1"/>
    <col min="6" max="6" width="11.21875" customWidth="1"/>
    <col min="7" max="7" width="6.6640625" customWidth="1"/>
    <col min="8" max="8" width="9.6640625" customWidth="1"/>
    <col min="9" max="9" width="7.109375" customWidth="1"/>
    <col min="11" max="11" width="9.77734375" customWidth="1"/>
    <col min="12" max="12" width="8.5546875" customWidth="1"/>
    <col min="13" max="13" width="9.77734375" style="1" customWidth="1"/>
    <col min="14" max="14" width="9.33203125" bestFit="1" customWidth="1"/>
    <col min="15" max="15" width="12.44140625" customWidth="1"/>
    <col min="16" max="16" width="11" customWidth="1"/>
    <col min="17" max="17" width="9.33203125" bestFit="1" customWidth="1"/>
    <col min="18" max="18" width="11.109375" customWidth="1"/>
    <col min="21" max="21" width="11.6640625" customWidth="1"/>
    <col min="22" max="22" width="17" customWidth="1"/>
  </cols>
  <sheetData>
    <row r="1" spans="1:22" x14ac:dyDescent="0.3">
      <c r="A1" s="5" t="s">
        <v>42</v>
      </c>
      <c r="B1" t="s">
        <v>80</v>
      </c>
      <c r="C1" t="s">
        <v>81</v>
      </c>
      <c r="D1" t="s">
        <v>78</v>
      </c>
      <c r="E1" t="s">
        <v>82</v>
      </c>
      <c r="F1" t="s">
        <v>118</v>
      </c>
      <c r="G1" t="s">
        <v>79</v>
      </c>
      <c r="H1" t="s">
        <v>119</v>
      </c>
      <c r="I1" t="s">
        <v>114</v>
      </c>
      <c r="J1" t="s">
        <v>115</v>
      </c>
      <c r="K1" t="s">
        <v>117</v>
      </c>
      <c r="L1" t="s">
        <v>116</v>
      </c>
      <c r="M1" s="1" t="s">
        <v>120</v>
      </c>
      <c r="N1" s="1" t="s">
        <v>121</v>
      </c>
      <c r="O1" t="s">
        <v>122</v>
      </c>
      <c r="P1" s="1" t="s">
        <v>123</v>
      </c>
      <c r="Q1" t="s">
        <v>124</v>
      </c>
      <c r="R1" t="s">
        <v>125</v>
      </c>
      <c r="U1" t="s">
        <v>126</v>
      </c>
      <c r="V1" t="s">
        <v>106</v>
      </c>
    </row>
    <row r="2" spans="1:22" x14ac:dyDescent="0.3">
      <c r="A2" s="6">
        <v>45658.524259259262</v>
      </c>
      <c r="B2">
        <f>MONTH(A2)</f>
        <v>1</v>
      </c>
      <c r="C2" t="str">
        <f>TEXT(A2,"mmm")</f>
        <v>Jan</v>
      </c>
      <c r="D2">
        <f>DAY(A2)</f>
        <v>1</v>
      </c>
      <c r="E2" t="str">
        <f>TEXT(A2,"ddd")</f>
        <v>Wed</v>
      </c>
      <c r="F2">
        <f>WEEKDAY(Table9[[#This Row],[CreationTime]],2)</f>
        <v>3</v>
      </c>
      <c r="G2">
        <f>YEAR(Table9[[#This Row],[CreationTime]])</f>
        <v>2025</v>
      </c>
      <c r="H2" s="1">
        <f>DATE(Table9[[#This Row],[Year]],Table9[[#This Row],[Month]],Table9[[#This Row],[Day]])</f>
        <v>45658</v>
      </c>
      <c r="I2">
        <f>HOUR(Table9[[#This Row],[CreationTime]])</f>
        <v>12</v>
      </c>
      <c r="J2">
        <f>MINUTE(Table9[[#This Row],[CreationTime]])</f>
        <v>34</v>
      </c>
      <c r="K2">
        <f>SECOND(Table9[[#This Row],[CreationTime]])</f>
        <v>56</v>
      </c>
      <c r="L2" s="9">
        <f>TIME(Table9[[#This Row],[Hour]],Table9[[#This Row],[Minute]],Table9[[#This Row],[Seconds]])</f>
        <v>0.52425925925925931</v>
      </c>
      <c r="M2" s="1">
        <f>EOMONTH(Table9[[#This Row],[Date]],0)</f>
        <v>45688</v>
      </c>
      <c r="N2" s="1">
        <f>EDATE(Table9[[#This Row],[Date]],1)</f>
        <v>45689</v>
      </c>
      <c r="O2">
        <f>NETWORKDAYS(Table9[[#This Row],[Date]],Table9[[#This Row],[EOMonth]])</f>
        <v>23</v>
      </c>
      <c r="P2" s="1">
        <f>WORKDAY(Table9[[#This Row],[Date]],Table9[[#This Row],[Network Days]]-1)</f>
        <v>45688</v>
      </c>
      <c r="Q2">
        <f>_xlfn.DAYS(Table9[[#This Row],[EOMonth]],Table9[[#This Row],[Date]])</f>
        <v>30</v>
      </c>
      <c r="R2" s="11">
        <f ca="1">YEARFRAC(Table9[[#This Row],[Date]],$V$2,3)</f>
        <v>1.473972602739726</v>
      </c>
      <c r="U2" t="s">
        <v>127</v>
      </c>
      <c r="V2" s="1">
        <f ca="1">TODAY()</f>
        <v>46196</v>
      </c>
    </row>
    <row r="3" spans="1:22" x14ac:dyDescent="0.3">
      <c r="A3" s="4">
        <v>45662.973657407405</v>
      </c>
      <c r="B3">
        <f t="shared" ref="B3:B21" si="0">MONTH(A3)</f>
        <v>1</v>
      </c>
      <c r="C3" t="str">
        <f t="shared" ref="C3:C21" si="1">TEXT(A3,"mmm")</f>
        <v>Jan</v>
      </c>
      <c r="D3">
        <f t="shared" ref="D3:D21" si="2">DAY(A3)</f>
        <v>5</v>
      </c>
      <c r="E3" t="str">
        <f t="shared" ref="E3:E21" si="3">TEXT(A3,"ddd")</f>
        <v>Sun</v>
      </c>
      <c r="F3">
        <f>WEEKDAY(Table9[[#This Row],[CreationTime]],2)</f>
        <v>7</v>
      </c>
      <c r="G3">
        <f>YEAR(Table9[[#This Row],[CreationTime]])</f>
        <v>2025</v>
      </c>
      <c r="H3" s="1">
        <f>DATE(Table9[[#This Row],[Year]],Table9[[#This Row],[Month]],Table9[[#This Row],[Day]])</f>
        <v>45662</v>
      </c>
      <c r="I3">
        <f>HOUR(Table9[[#This Row],[CreationTime]])</f>
        <v>23</v>
      </c>
      <c r="J3">
        <f>MINUTE(Table9[[#This Row],[CreationTime]])</f>
        <v>22</v>
      </c>
      <c r="K3">
        <f>SECOND(Table9[[#This Row],[CreationTime]])</f>
        <v>4</v>
      </c>
      <c r="L3" s="9">
        <f>TIME(Table9[[#This Row],[Hour]],Table9[[#This Row],[Minute]],Table9[[#This Row],[Seconds]])</f>
        <v>0.97365740740740736</v>
      </c>
      <c r="M3" s="1">
        <f>EOMONTH(Table9[[#This Row],[Date]],0)</f>
        <v>45688</v>
      </c>
      <c r="N3" s="1">
        <f>EDATE(Table9[[#This Row],[Date]],1)</f>
        <v>45693</v>
      </c>
      <c r="O3">
        <f>NETWORKDAYS(Table9[[#This Row],[Date]],Table9[[#This Row],[EOMonth]])</f>
        <v>20</v>
      </c>
      <c r="P3" s="1">
        <f>WORKDAY(Table9[[#This Row],[Date]],Table9[[#This Row],[Network Days]]-1)</f>
        <v>45687</v>
      </c>
      <c r="Q3">
        <f>_xlfn.DAYS(Table9[[#This Row],[EOMonth]],Table9[[#This Row],[Date]])</f>
        <v>26</v>
      </c>
      <c r="R3" s="11">
        <f ca="1">YEARFRAC(Table9[[#This Row],[Date]],$V$2,3)</f>
        <v>1.463013698630137</v>
      </c>
      <c r="U3" t="s">
        <v>128</v>
      </c>
      <c r="V3" s="2">
        <f ca="1">NOW()</f>
        <v>46196.608089814814</v>
      </c>
    </row>
    <row r="4" spans="1:22" x14ac:dyDescent="0.3">
      <c r="A4" s="6">
        <v>45667.766759259262</v>
      </c>
      <c r="B4">
        <f t="shared" si="0"/>
        <v>1</v>
      </c>
      <c r="C4" t="str">
        <f t="shared" si="1"/>
        <v>Jan</v>
      </c>
      <c r="D4">
        <f t="shared" si="2"/>
        <v>10</v>
      </c>
      <c r="E4" t="str">
        <f t="shared" si="3"/>
        <v>Fri</v>
      </c>
      <c r="F4">
        <f>WEEKDAY(Table9[[#This Row],[CreationTime]],2)</f>
        <v>5</v>
      </c>
      <c r="G4">
        <f>YEAR(Table9[[#This Row],[CreationTime]])</f>
        <v>2025</v>
      </c>
      <c r="H4" s="1">
        <f>DATE(Table9[[#This Row],[Year]],Table9[[#This Row],[Month]],Table9[[#This Row],[Day]])</f>
        <v>45667</v>
      </c>
      <c r="I4">
        <f>HOUR(Table9[[#This Row],[CreationTime]])</f>
        <v>18</v>
      </c>
      <c r="J4">
        <f>MINUTE(Table9[[#This Row],[CreationTime]])</f>
        <v>24</v>
      </c>
      <c r="K4">
        <f>SECOND(Table9[[#This Row],[CreationTime]])</f>
        <v>8</v>
      </c>
      <c r="L4" s="9">
        <f>TIME(Table9[[#This Row],[Hour]],Table9[[#This Row],[Minute]],Table9[[#This Row],[Seconds]])</f>
        <v>0.76675925925925925</v>
      </c>
      <c r="M4" s="1">
        <f>EOMONTH(Table9[[#This Row],[Date]],0)</f>
        <v>45688</v>
      </c>
      <c r="N4" s="1">
        <f>EDATE(Table9[[#This Row],[Date]],1)</f>
        <v>45698</v>
      </c>
      <c r="O4">
        <f>NETWORKDAYS(Table9[[#This Row],[Date]],Table9[[#This Row],[EOMonth]])</f>
        <v>16</v>
      </c>
      <c r="P4" s="1">
        <f>WORKDAY(Table9[[#This Row],[Date]],Table9[[#This Row],[Network Days]]-1)</f>
        <v>45688</v>
      </c>
      <c r="Q4">
        <f>_xlfn.DAYS(Table9[[#This Row],[EOMonth]],Table9[[#This Row],[Date]])</f>
        <v>21</v>
      </c>
      <c r="R4" s="11">
        <f ca="1">YEARFRAC(Table9[[#This Row],[Date]],$V$2,3)</f>
        <v>1.4493150684931506</v>
      </c>
    </row>
    <row r="5" spans="1:22" x14ac:dyDescent="0.3">
      <c r="A5" s="4">
        <v>45677.243437500001</v>
      </c>
      <c r="B5">
        <f t="shared" si="0"/>
        <v>1</v>
      </c>
      <c r="C5" t="str">
        <f t="shared" si="1"/>
        <v>Jan</v>
      </c>
      <c r="D5">
        <f t="shared" si="2"/>
        <v>20</v>
      </c>
      <c r="E5" t="str">
        <f t="shared" si="3"/>
        <v>Mon</v>
      </c>
      <c r="F5">
        <f>WEEKDAY(Table9[[#This Row],[CreationTime]],2)</f>
        <v>1</v>
      </c>
      <c r="G5">
        <f>YEAR(Table9[[#This Row],[CreationTime]])</f>
        <v>2025</v>
      </c>
      <c r="H5" s="1">
        <f>DATE(Table9[[#This Row],[Year]],Table9[[#This Row],[Month]],Table9[[#This Row],[Day]])</f>
        <v>45677</v>
      </c>
      <c r="I5">
        <f>HOUR(Table9[[#This Row],[CreationTime]])</f>
        <v>5</v>
      </c>
      <c r="J5">
        <f>MINUTE(Table9[[#This Row],[CreationTime]])</f>
        <v>50</v>
      </c>
      <c r="K5">
        <f>SECOND(Table9[[#This Row],[CreationTime]])</f>
        <v>33</v>
      </c>
      <c r="L5" s="9">
        <f>TIME(Table9[[#This Row],[Hour]],Table9[[#This Row],[Minute]],Table9[[#This Row],[Seconds]])</f>
        <v>0.2434375</v>
      </c>
      <c r="M5" s="1">
        <f>EOMONTH(Table9[[#This Row],[Date]],0)</f>
        <v>45688</v>
      </c>
      <c r="N5" s="1">
        <f>EDATE(Table9[[#This Row],[Date]],1)</f>
        <v>45708</v>
      </c>
      <c r="O5">
        <f>NETWORKDAYS(Table9[[#This Row],[Date]],Table9[[#This Row],[EOMonth]])</f>
        <v>10</v>
      </c>
      <c r="P5" s="1">
        <f>WORKDAY(Table9[[#This Row],[Date]],Table9[[#This Row],[Network Days]]-1)</f>
        <v>45688</v>
      </c>
      <c r="Q5">
        <f>_xlfn.DAYS(Table9[[#This Row],[EOMonth]],Table9[[#This Row],[Date]])</f>
        <v>11</v>
      </c>
      <c r="R5" s="11">
        <f ca="1">YEARFRAC(Table9[[#This Row],[Date]],$V$2,3)</f>
        <v>1.4219178082191781</v>
      </c>
    </row>
    <row r="6" spans="1:22" x14ac:dyDescent="0.3">
      <c r="A6" s="6">
        <v>45689.585196759261</v>
      </c>
      <c r="B6">
        <f t="shared" si="0"/>
        <v>2</v>
      </c>
      <c r="C6" t="str">
        <f t="shared" si="1"/>
        <v>Feb</v>
      </c>
      <c r="D6">
        <f t="shared" si="2"/>
        <v>1</v>
      </c>
      <c r="E6" t="str">
        <f t="shared" si="3"/>
        <v>Sat</v>
      </c>
      <c r="F6">
        <f>WEEKDAY(Table9[[#This Row],[CreationTime]],2)</f>
        <v>6</v>
      </c>
      <c r="G6">
        <f>YEAR(Table9[[#This Row],[CreationTime]])</f>
        <v>2025</v>
      </c>
      <c r="H6" s="1">
        <f>DATE(Table9[[#This Row],[Year]],Table9[[#This Row],[Month]],Table9[[#This Row],[Day]])</f>
        <v>45689</v>
      </c>
      <c r="I6">
        <f>HOUR(Table9[[#This Row],[CreationTime]])</f>
        <v>14</v>
      </c>
      <c r="J6">
        <f>MINUTE(Table9[[#This Row],[CreationTime]])</f>
        <v>2</v>
      </c>
      <c r="K6">
        <f>SECOND(Table9[[#This Row],[CreationTime]])</f>
        <v>41</v>
      </c>
      <c r="L6" s="9">
        <f>TIME(Table9[[#This Row],[Hour]],Table9[[#This Row],[Minute]],Table9[[#This Row],[Seconds]])</f>
        <v>0.58519675925925929</v>
      </c>
      <c r="M6" s="1">
        <f>EOMONTH(Table9[[#This Row],[Date]],0)</f>
        <v>45716</v>
      </c>
      <c r="N6" s="1">
        <f>EDATE(Table9[[#This Row],[Date]],1)</f>
        <v>45717</v>
      </c>
      <c r="O6">
        <f>NETWORKDAYS(Table9[[#This Row],[Date]],Table9[[#This Row],[EOMonth]])</f>
        <v>20</v>
      </c>
      <c r="P6" s="1">
        <f>WORKDAY(Table9[[#This Row],[Date]],Table9[[#This Row],[Network Days]]-1)</f>
        <v>45715</v>
      </c>
      <c r="Q6">
        <f>_xlfn.DAYS(Table9[[#This Row],[EOMonth]],Table9[[#This Row],[Date]])</f>
        <v>27</v>
      </c>
      <c r="R6" s="11">
        <f ca="1">YEARFRAC(Table9[[#This Row],[Date]],$V$2,3)</f>
        <v>1.3890410958904109</v>
      </c>
    </row>
    <row r="7" spans="1:22" x14ac:dyDescent="0.3">
      <c r="A7" s="4">
        <v>45694.649270833332</v>
      </c>
      <c r="B7">
        <f t="shared" si="0"/>
        <v>2</v>
      </c>
      <c r="C7" t="str">
        <f t="shared" si="1"/>
        <v>Feb</v>
      </c>
      <c r="D7">
        <f t="shared" si="2"/>
        <v>6</v>
      </c>
      <c r="E7" t="str">
        <f t="shared" si="3"/>
        <v>Thu</v>
      </c>
      <c r="F7">
        <f>WEEKDAY(Table9[[#This Row],[CreationTime]],2)</f>
        <v>4</v>
      </c>
      <c r="G7">
        <f>YEAR(Table9[[#This Row],[CreationTime]])</f>
        <v>2025</v>
      </c>
      <c r="H7" s="1">
        <f>DATE(Table9[[#This Row],[Year]],Table9[[#This Row],[Month]],Table9[[#This Row],[Day]])</f>
        <v>45694</v>
      </c>
      <c r="I7">
        <f>HOUR(Table9[[#This Row],[CreationTime]])</f>
        <v>15</v>
      </c>
      <c r="J7">
        <f>MINUTE(Table9[[#This Row],[CreationTime]])</f>
        <v>34</v>
      </c>
      <c r="K7">
        <f>SECOND(Table9[[#This Row],[CreationTime]])</f>
        <v>57</v>
      </c>
      <c r="L7" s="9">
        <f>TIME(Table9[[#This Row],[Hour]],Table9[[#This Row],[Minute]],Table9[[#This Row],[Seconds]])</f>
        <v>0.64927083333333335</v>
      </c>
      <c r="M7" s="1">
        <f>EOMONTH(Table9[[#This Row],[Date]],0)</f>
        <v>45716</v>
      </c>
      <c r="N7" s="1">
        <f>EDATE(Table9[[#This Row],[Date]],1)</f>
        <v>45722</v>
      </c>
      <c r="O7">
        <f>NETWORKDAYS(Table9[[#This Row],[Date]],Table9[[#This Row],[EOMonth]])</f>
        <v>17</v>
      </c>
      <c r="P7" s="1">
        <f>WORKDAY(Table9[[#This Row],[Date]],Table9[[#This Row],[Network Days]]-1)</f>
        <v>45716</v>
      </c>
      <c r="Q7">
        <f>_xlfn.DAYS(Table9[[#This Row],[EOMonth]],Table9[[#This Row],[Date]])</f>
        <v>22</v>
      </c>
      <c r="R7" s="11">
        <f ca="1">YEARFRAC(Table9[[#This Row],[Date]],$V$2,3)</f>
        <v>1.3753424657534246</v>
      </c>
    </row>
    <row r="8" spans="1:22" x14ac:dyDescent="0.3">
      <c r="A8" s="6">
        <v>45704.265289351853</v>
      </c>
      <c r="B8">
        <f t="shared" si="0"/>
        <v>2</v>
      </c>
      <c r="C8" t="str">
        <f t="shared" si="1"/>
        <v>Feb</v>
      </c>
      <c r="D8">
        <f t="shared" si="2"/>
        <v>16</v>
      </c>
      <c r="E8" t="str">
        <f t="shared" si="3"/>
        <v>Sun</v>
      </c>
      <c r="F8">
        <f>WEEKDAY(Table9[[#This Row],[CreationTime]],2)</f>
        <v>7</v>
      </c>
      <c r="G8">
        <f>YEAR(Table9[[#This Row],[CreationTime]])</f>
        <v>2025</v>
      </c>
      <c r="H8" s="1">
        <f>DATE(Table9[[#This Row],[Year]],Table9[[#This Row],[Month]],Table9[[#This Row],[Day]])</f>
        <v>45704</v>
      </c>
      <c r="I8">
        <f>HOUR(Table9[[#This Row],[CreationTime]])</f>
        <v>6</v>
      </c>
      <c r="J8">
        <f>MINUTE(Table9[[#This Row],[CreationTime]])</f>
        <v>22</v>
      </c>
      <c r="K8">
        <f>SECOND(Table9[[#This Row],[CreationTime]])</f>
        <v>1</v>
      </c>
      <c r="L8" s="9">
        <f>TIME(Table9[[#This Row],[Hour]],Table9[[#This Row],[Minute]],Table9[[#This Row],[Seconds]])</f>
        <v>0.26528935185185187</v>
      </c>
      <c r="M8" s="1">
        <f>EOMONTH(Table9[[#This Row],[Date]],0)</f>
        <v>45716</v>
      </c>
      <c r="N8" s="1">
        <f>EDATE(Table9[[#This Row],[Date]],1)</f>
        <v>45732</v>
      </c>
      <c r="O8">
        <f>NETWORKDAYS(Table9[[#This Row],[Date]],Table9[[#This Row],[EOMonth]])</f>
        <v>10</v>
      </c>
      <c r="P8" s="1">
        <f>WORKDAY(Table9[[#This Row],[Date]],Table9[[#This Row],[Network Days]]-1)</f>
        <v>45715</v>
      </c>
      <c r="Q8">
        <f>_xlfn.DAYS(Table9[[#This Row],[EOMonth]],Table9[[#This Row],[Date]])</f>
        <v>12</v>
      </c>
      <c r="R8" s="11">
        <f ca="1">YEARFRAC(Table9[[#This Row],[Date]],$V$2,3)</f>
        <v>1.3479452054794521</v>
      </c>
    </row>
    <row r="9" spans="1:22" x14ac:dyDescent="0.3">
      <c r="A9" s="4">
        <v>45706.448171296295</v>
      </c>
      <c r="B9">
        <f t="shared" si="0"/>
        <v>2</v>
      </c>
      <c r="C9" t="str">
        <f t="shared" si="1"/>
        <v>Feb</v>
      </c>
      <c r="D9">
        <f t="shared" si="2"/>
        <v>18</v>
      </c>
      <c r="E9" t="str">
        <f t="shared" si="3"/>
        <v>Tue</v>
      </c>
      <c r="F9">
        <f>WEEKDAY(Table9[[#This Row],[CreationTime]],2)</f>
        <v>2</v>
      </c>
      <c r="G9">
        <f>YEAR(Table9[[#This Row],[CreationTime]])</f>
        <v>2025</v>
      </c>
      <c r="H9" s="1">
        <f>DATE(Table9[[#This Row],[Year]],Table9[[#This Row],[Month]],Table9[[#This Row],[Day]])</f>
        <v>45706</v>
      </c>
      <c r="I9">
        <f>HOUR(Table9[[#This Row],[CreationTime]])</f>
        <v>10</v>
      </c>
      <c r="J9">
        <f>MINUTE(Table9[[#This Row],[CreationTime]])</f>
        <v>45</v>
      </c>
      <c r="K9">
        <f>SECOND(Table9[[#This Row],[CreationTime]])</f>
        <v>22</v>
      </c>
      <c r="L9" s="9">
        <f>TIME(Table9[[#This Row],[Hour]],Table9[[#This Row],[Minute]],Table9[[#This Row],[Seconds]])</f>
        <v>0.44817129629629632</v>
      </c>
      <c r="M9" s="1">
        <f>EOMONTH(Table9[[#This Row],[Date]],0)</f>
        <v>45716</v>
      </c>
      <c r="N9" s="1">
        <f>EDATE(Table9[[#This Row],[Date]],1)</f>
        <v>45734</v>
      </c>
      <c r="O9">
        <f>NETWORKDAYS(Table9[[#This Row],[Date]],Table9[[#This Row],[EOMonth]])</f>
        <v>9</v>
      </c>
      <c r="P9" s="1">
        <f>WORKDAY(Table9[[#This Row],[Date]],Table9[[#This Row],[Network Days]]-1)</f>
        <v>45716</v>
      </c>
      <c r="Q9">
        <f>_xlfn.DAYS(Table9[[#This Row],[EOMonth]],Table9[[#This Row],[Date]])</f>
        <v>10</v>
      </c>
      <c r="R9" s="11">
        <f ca="1">YEARFRAC(Table9[[#This Row],[Date]],$V$2,3)</f>
        <v>1.3424657534246576</v>
      </c>
    </row>
    <row r="10" spans="1:22" x14ac:dyDescent="0.3">
      <c r="A10" s="6">
        <v>45726.541018518517</v>
      </c>
      <c r="B10">
        <f t="shared" si="0"/>
        <v>3</v>
      </c>
      <c r="C10" t="str">
        <f t="shared" si="1"/>
        <v>Mar</v>
      </c>
      <c r="D10">
        <f t="shared" si="2"/>
        <v>10</v>
      </c>
      <c r="E10" t="str">
        <f t="shared" si="3"/>
        <v>Mon</v>
      </c>
      <c r="F10">
        <f>WEEKDAY(Table9[[#This Row],[CreationTime]],2)</f>
        <v>1</v>
      </c>
      <c r="G10">
        <f>YEAR(Table9[[#This Row],[CreationTime]])</f>
        <v>2025</v>
      </c>
      <c r="H10" s="1">
        <f>DATE(Table9[[#This Row],[Year]],Table9[[#This Row],[Month]],Table9[[#This Row],[Day]])</f>
        <v>45726</v>
      </c>
      <c r="I10">
        <f>HOUR(Table9[[#This Row],[CreationTime]])</f>
        <v>12</v>
      </c>
      <c r="J10">
        <f>MINUTE(Table9[[#This Row],[CreationTime]])</f>
        <v>59</v>
      </c>
      <c r="K10">
        <f>SECOND(Table9[[#This Row],[CreationTime]])</f>
        <v>4</v>
      </c>
      <c r="L10" s="9">
        <f>TIME(Table9[[#This Row],[Hour]],Table9[[#This Row],[Minute]],Table9[[#This Row],[Seconds]])</f>
        <v>0.54101851851851857</v>
      </c>
      <c r="M10" s="1">
        <f>EOMONTH(Table9[[#This Row],[Date]],0)</f>
        <v>45747</v>
      </c>
      <c r="N10" s="1">
        <f>EDATE(Table9[[#This Row],[Date]],1)</f>
        <v>45757</v>
      </c>
      <c r="O10">
        <f>NETWORKDAYS(Table9[[#This Row],[Date]],Table9[[#This Row],[EOMonth]])</f>
        <v>16</v>
      </c>
      <c r="P10" s="1">
        <f>WORKDAY(Table9[[#This Row],[Date]],Table9[[#This Row],[Network Days]]-1)</f>
        <v>45747</v>
      </c>
      <c r="Q10">
        <f>_xlfn.DAYS(Table9[[#This Row],[EOMonth]],Table9[[#This Row],[Date]])</f>
        <v>21</v>
      </c>
      <c r="R10" s="11">
        <f ca="1">YEARFRAC(Table9[[#This Row],[Date]],$V$2,3)</f>
        <v>1.2876712328767124</v>
      </c>
    </row>
    <row r="11" spans="1:22" x14ac:dyDescent="0.3">
      <c r="A11" s="4">
        <v>45732.975868055553</v>
      </c>
      <c r="B11">
        <f t="shared" si="0"/>
        <v>3</v>
      </c>
      <c r="C11" t="str">
        <f t="shared" si="1"/>
        <v>Mar</v>
      </c>
      <c r="D11">
        <f t="shared" si="2"/>
        <v>16</v>
      </c>
      <c r="E11" t="str">
        <f t="shared" si="3"/>
        <v>Sun</v>
      </c>
      <c r="F11">
        <f>WEEKDAY(Table9[[#This Row],[CreationTime]],2)</f>
        <v>7</v>
      </c>
      <c r="G11">
        <f>YEAR(Table9[[#This Row],[CreationTime]])</f>
        <v>2025</v>
      </c>
      <c r="H11" s="1">
        <f>DATE(Table9[[#This Row],[Year]],Table9[[#This Row],[Month]],Table9[[#This Row],[Day]])</f>
        <v>45732</v>
      </c>
      <c r="I11">
        <f>HOUR(Table9[[#This Row],[CreationTime]])</f>
        <v>23</v>
      </c>
      <c r="J11">
        <f>MINUTE(Table9[[#This Row],[CreationTime]])</f>
        <v>25</v>
      </c>
      <c r="K11">
        <f>SECOND(Table9[[#This Row],[CreationTime]])</f>
        <v>15</v>
      </c>
      <c r="L11" s="9">
        <f>TIME(Table9[[#This Row],[Hour]],Table9[[#This Row],[Minute]],Table9[[#This Row],[Seconds]])</f>
        <v>0.97586805555555556</v>
      </c>
      <c r="M11" s="1">
        <f>EOMONTH(Table9[[#This Row],[Date]],0)</f>
        <v>45747</v>
      </c>
      <c r="N11" s="1">
        <f>EDATE(Table9[[#This Row],[Date]],1)</f>
        <v>45763</v>
      </c>
      <c r="O11">
        <f>NETWORKDAYS(Table9[[#This Row],[Date]],Table9[[#This Row],[EOMonth]])</f>
        <v>11</v>
      </c>
      <c r="P11" s="1">
        <f>WORKDAY(Table9[[#This Row],[Date]],Table9[[#This Row],[Network Days]]-1)</f>
        <v>45744</v>
      </c>
      <c r="Q11">
        <f>_xlfn.DAYS(Table9[[#This Row],[EOMonth]],Table9[[#This Row],[Date]])</f>
        <v>15</v>
      </c>
      <c r="R11" s="11">
        <f ca="1">YEARFRAC(Table9[[#This Row],[Date]],$V$2,3)</f>
        <v>1.2712328767123289</v>
      </c>
    </row>
    <row r="12" spans="1:22" x14ac:dyDescent="0.3">
      <c r="A12" s="6">
        <v>45383.524259259262</v>
      </c>
      <c r="B12">
        <f t="shared" si="0"/>
        <v>4</v>
      </c>
      <c r="C12" t="str">
        <f t="shared" si="1"/>
        <v>Apr</v>
      </c>
      <c r="D12">
        <f t="shared" si="2"/>
        <v>1</v>
      </c>
      <c r="E12" t="str">
        <f t="shared" si="3"/>
        <v>Mon</v>
      </c>
      <c r="F12">
        <f>WEEKDAY(Table9[[#This Row],[CreationTime]],2)</f>
        <v>1</v>
      </c>
      <c r="G12">
        <f>YEAR(Table9[[#This Row],[CreationTime]])</f>
        <v>2024</v>
      </c>
      <c r="H12" s="1">
        <f>DATE(Table9[[#This Row],[Year]],Table9[[#This Row],[Month]],Table9[[#This Row],[Day]])</f>
        <v>45383</v>
      </c>
      <c r="I12">
        <f>HOUR(Table9[[#This Row],[CreationTime]])</f>
        <v>12</v>
      </c>
      <c r="J12">
        <f>MINUTE(Table9[[#This Row],[CreationTime]])</f>
        <v>34</v>
      </c>
      <c r="K12">
        <f>SECOND(Table9[[#This Row],[CreationTime]])</f>
        <v>56</v>
      </c>
      <c r="L12" s="9">
        <f>TIME(Table9[[#This Row],[Hour]],Table9[[#This Row],[Minute]],Table9[[#This Row],[Seconds]])</f>
        <v>0.52425925925925931</v>
      </c>
      <c r="M12" s="1">
        <f>EOMONTH(Table9[[#This Row],[Date]],0)</f>
        <v>45412</v>
      </c>
      <c r="N12" s="1">
        <f>EDATE(Table9[[#This Row],[Date]],1)</f>
        <v>45413</v>
      </c>
      <c r="O12">
        <f>NETWORKDAYS(Table9[[#This Row],[Date]],Table9[[#This Row],[EOMonth]])</f>
        <v>22</v>
      </c>
      <c r="P12" s="1">
        <f>WORKDAY(Table9[[#This Row],[Date]],Table9[[#This Row],[Network Days]]-1)</f>
        <v>45412</v>
      </c>
      <c r="Q12">
        <f>_xlfn.DAYS(Table9[[#This Row],[EOMonth]],Table9[[#This Row],[Date]])</f>
        <v>29</v>
      </c>
      <c r="R12" s="11">
        <f ca="1">YEARFRAC(Table9[[#This Row],[Date]],$V$2,3)</f>
        <v>2.2273972602739724</v>
      </c>
    </row>
    <row r="13" spans="1:22" x14ac:dyDescent="0.3">
      <c r="A13" s="4">
        <v>45387.973657407405</v>
      </c>
      <c r="B13">
        <f t="shared" si="0"/>
        <v>4</v>
      </c>
      <c r="C13" t="str">
        <f t="shared" si="1"/>
        <v>Apr</v>
      </c>
      <c r="D13">
        <f t="shared" si="2"/>
        <v>5</v>
      </c>
      <c r="E13" t="str">
        <f t="shared" si="3"/>
        <v>Fri</v>
      </c>
      <c r="F13">
        <f>WEEKDAY(Table9[[#This Row],[CreationTime]],2)</f>
        <v>5</v>
      </c>
      <c r="G13">
        <f>YEAR(Table9[[#This Row],[CreationTime]])</f>
        <v>2024</v>
      </c>
      <c r="H13" s="1">
        <f>DATE(Table9[[#This Row],[Year]],Table9[[#This Row],[Month]],Table9[[#This Row],[Day]])</f>
        <v>45387</v>
      </c>
      <c r="I13">
        <f>HOUR(Table9[[#This Row],[CreationTime]])</f>
        <v>23</v>
      </c>
      <c r="J13">
        <f>MINUTE(Table9[[#This Row],[CreationTime]])</f>
        <v>22</v>
      </c>
      <c r="K13">
        <f>SECOND(Table9[[#This Row],[CreationTime]])</f>
        <v>4</v>
      </c>
      <c r="L13" s="9">
        <f>TIME(Table9[[#This Row],[Hour]],Table9[[#This Row],[Minute]],Table9[[#This Row],[Seconds]])</f>
        <v>0.97365740740740736</v>
      </c>
      <c r="M13" s="1">
        <f>EOMONTH(Table9[[#This Row],[Date]],0)</f>
        <v>45412</v>
      </c>
      <c r="N13" s="1">
        <f>EDATE(Table9[[#This Row],[Date]],1)</f>
        <v>45417</v>
      </c>
      <c r="O13">
        <f>NETWORKDAYS(Table9[[#This Row],[Date]],Table9[[#This Row],[EOMonth]])</f>
        <v>18</v>
      </c>
      <c r="P13" s="1">
        <f>WORKDAY(Table9[[#This Row],[Date]],Table9[[#This Row],[Network Days]]-1)</f>
        <v>45412</v>
      </c>
      <c r="Q13">
        <f>_xlfn.DAYS(Table9[[#This Row],[EOMonth]],Table9[[#This Row],[Date]])</f>
        <v>25</v>
      </c>
      <c r="R13" s="11">
        <f ca="1">YEARFRAC(Table9[[#This Row],[Date]],$V$2,3)</f>
        <v>2.2164383561643834</v>
      </c>
    </row>
    <row r="14" spans="1:22" x14ac:dyDescent="0.3">
      <c r="A14" s="6">
        <v>45392.766759259262</v>
      </c>
      <c r="B14">
        <f t="shared" si="0"/>
        <v>4</v>
      </c>
      <c r="C14" t="str">
        <f t="shared" si="1"/>
        <v>Apr</v>
      </c>
      <c r="D14">
        <f t="shared" si="2"/>
        <v>10</v>
      </c>
      <c r="E14" t="str">
        <f t="shared" si="3"/>
        <v>Wed</v>
      </c>
      <c r="F14">
        <f>WEEKDAY(Table9[[#This Row],[CreationTime]],2)</f>
        <v>3</v>
      </c>
      <c r="G14">
        <f>YEAR(Table9[[#This Row],[CreationTime]])</f>
        <v>2024</v>
      </c>
      <c r="H14" s="1">
        <f>DATE(Table9[[#This Row],[Year]],Table9[[#This Row],[Month]],Table9[[#This Row],[Day]])</f>
        <v>45392</v>
      </c>
      <c r="I14">
        <f>HOUR(Table9[[#This Row],[CreationTime]])</f>
        <v>18</v>
      </c>
      <c r="J14">
        <f>MINUTE(Table9[[#This Row],[CreationTime]])</f>
        <v>24</v>
      </c>
      <c r="K14">
        <f>SECOND(Table9[[#This Row],[CreationTime]])</f>
        <v>8</v>
      </c>
      <c r="L14" s="9">
        <f>TIME(Table9[[#This Row],[Hour]],Table9[[#This Row],[Minute]],Table9[[#This Row],[Seconds]])</f>
        <v>0.76675925925925925</v>
      </c>
      <c r="M14" s="1">
        <f>EOMONTH(Table9[[#This Row],[Date]],0)</f>
        <v>45412</v>
      </c>
      <c r="N14" s="1">
        <f>EDATE(Table9[[#This Row],[Date]],1)</f>
        <v>45422</v>
      </c>
      <c r="O14">
        <f>NETWORKDAYS(Table9[[#This Row],[Date]],Table9[[#This Row],[EOMonth]])</f>
        <v>15</v>
      </c>
      <c r="P14" s="1">
        <f>WORKDAY(Table9[[#This Row],[Date]],Table9[[#This Row],[Network Days]]-1)</f>
        <v>45412</v>
      </c>
      <c r="Q14">
        <f>_xlfn.DAYS(Table9[[#This Row],[EOMonth]],Table9[[#This Row],[Date]])</f>
        <v>20</v>
      </c>
      <c r="R14" s="11">
        <f ca="1">YEARFRAC(Table9[[#This Row],[Date]],$V$2,3)</f>
        <v>2.2027397260273971</v>
      </c>
    </row>
    <row r="15" spans="1:22" x14ac:dyDescent="0.3">
      <c r="A15" s="4">
        <v>45402.243437500001</v>
      </c>
      <c r="B15">
        <f t="shared" si="0"/>
        <v>4</v>
      </c>
      <c r="C15" t="str">
        <f t="shared" si="1"/>
        <v>Apr</v>
      </c>
      <c r="D15">
        <f t="shared" si="2"/>
        <v>20</v>
      </c>
      <c r="E15" t="str">
        <f t="shared" si="3"/>
        <v>Sat</v>
      </c>
      <c r="F15">
        <f>WEEKDAY(Table9[[#This Row],[CreationTime]],2)</f>
        <v>6</v>
      </c>
      <c r="G15">
        <f>YEAR(Table9[[#This Row],[CreationTime]])</f>
        <v>2024</v>
      </c>
      <c r="H15" s="1">
        <f>DATE(Table9[[#This Row],[Year]],Table9[[#This Row],[Month]],Table9[[#This Row],[Day]])</f>
        <v>45402</v>
      </c>
      <c r="I15">
        <f>HOUR(Table9[[#This Row],[CreationTime]])</f>
        <v>5</v>
      </c>
      <c r="J15">
        <f>MINUTE(Table9[[#This Row],[CreationTime]])</f>
        <v>50</v>
      </c>
      <c r="K15">
        <f>SECOND(Table9[[#This Row],[CreationTime]])</f>
        <v>33</v>
      </c>
      <c r="L15" s="9">
        <f>TIME(Table9[[#This Row],[Hour]],Table9[[#This Row],[Minute]],Table9[[#This Row],[Seconds]])</f>
        <v>0.2434375</v>
      </c>
      <c r="M15" s="1">
        <f>EOMONTH(Table9[[#This Row],[Date]],0)</f>
        <v>45412</v>
      </c>
      <c r="N15" s="1">
        <f>EDATE(Table9[[#This Row],[Date]],1)</f>
        <v>45432</v>
      </c>
      <c r="O15">
        <f>NETWORKDAYS(Table9[[#This Row],[Date]],Table9[[#This Row],[EOMonth]])</f>
        <v>7</v>
      </c>
      <c r="P15" s="1">
        <f>WORKDAY(Table9[[#This Row],[Date]],Table9[[#This Row],[Network Days]]-1)</f>
        <v>45411</v>
      </c>
      <c r="Q15">
        <f>_xlfn.DAYS(Table9[[#This Row],[EOMonth]],Table9[[#This Row],[Date]])</f>
        <v>10</v>
      </c>
      <c r="R15" s="11">
        <f ca="1">YEARFRAC(Table9[[#This Row],[Date]],$V$2,3)</f>
        <v>2.1753424657534248</v>
      </c>
    </row>
    <row r="16" spans="1:22" x14ac:dyDescent="0.3">
      <c r="A16" s="6">
        <v>45402.618437500001</v>
      </c>
      <c r="B16">
        <f t="shared" si="0"/>
        <v>4</v>
      </c>
      <c r="C16" t="str">
        <f t="shared" si="1"/>
        <v>Apr</v>
      </c>
      <c r="D16">
        <f t="shared" si="2"/>
        <v>20</v>
      </c>
      <c r="E16" t="str">
        <f t="shared" si="3"/>
        <v>Sat</v>
      </c>
      <c r="F16">
        <f>WEEKDAY(Table9[[#This Row],[CreationTime]],2)</f>
        <v>6</v>
      </c>
      <c r="G16">
        <f>YEAR(Table9[[#This Row],[CreationTime]])</f>
        <v>2024</v>
      </c>
      <c r="H16" s="1">
        <f>DATE(Table9[[#This Row],[Year]],Table9[[#This Row],[Month]],Table9[[#This Row],[Day]])</f>
        <v>45402</v>
      </c>
      <c r="I16">
        <f>HOUR(Table9[[#This Row],[CreationTime]])</f>
        <v>14</v>
      </c>
      <c r="J16">
        <f>MINUTE(Table9[[#This Row],[CreationTime]])</f>
        <v>50</v>
      </c>
      <c r="K16">
        <f>SECOND(Table9[[#This Row],[CreationTime]])</f>
        <v>33</v>
      </c>
      <c r="L16" s="9">
        <f>TIME(Table9[[#This Row],[Hour]],Table9[[#This Row],[Minute]],Table9[[#This Row],[Seconds]])</f>
        <v>0.61843749999999997</v>
      </c>
      <c r="M16" s="1">
        <f>EOMONTH(Table9[[#This Row],[Date]],0)</f>
        <v>45412</v>
      </c>
      <c r="N16" s="1">
        <f>EDATE(Table9[[#This Row],[Date]],1)</f>
        <v>45432</v>
      </c>
      <c r="O16">
        <f>NETWORKDAYS(Table9[[#This Row],[Date]],Table9[[#This Row],[EOMonth]])</f>
        <v>7</v>
      </c>
      <c r="P16" s="1">
        <f>WORKDAY(Table9[[#This Row],[Date]],Table9[[#This Row],[Network Days]]-1)</f>
        <v>45411</v>
      </c>
      <c r="Q16">
        <f>_xlfn.DAYS(Table9[[#This Row],[EOMonth]],Table9[[#This Row],[Date]])</f>
        <v>10</v>
      </c>
      <c r="R16" s="11">
        <f ca="1">YEARFRAC(Table9[[#This Row],[Date]],$V$2,3)</f>
        <v>2.1753424657534248</v>
      </c>
    </row>
    <row r="17" spans="1:18" x14ac:dyDescent="0.3">
      <c r="A17" s="4">
        <v>45413.585196759261</v>
      </c>
      <c r="B17">
        <f t="shared" si="0"/>
        <v>5</v>
      </c>
      <c r="C17" t="str">
        <f t="shared" si="1"/>
        <v>May</v>
      </c>
      <c r="D17">
        <f t="shared" si="2"/>
        <v>1</v>
      </c>
      <c r="E17" t="str">
        <f t="shared" si="3"/>
        <v>Wed</v>
      </c>
      <c r="F17">
        <f>WEEKDAY(Table9[[#This Row],[CreationTime]],2)</f>
        <v>3</v>
      </c>
      <c r="G17">
        <f>YEAR(Table9[[#This Row],[CreationTime]])</f>
        <v>2024</v>
      </c>
      <c r="H17" s="1">
        <f>DATE(Table9[[#This Row],[Year]],Table9[[#This Row],[Month]],Table9[[#This Row],[Day]])</f>
        <v>45413</v>
      </c>
      <c r="I17">
        <f>HOUR(Table9[[#This Row],[CreationTime]])</f>
        <v>14</v>
      </c>
      <c r="J17">
        <f>MINUTE(Table9[[#This Row],[CreationTime]])</f>
        <v>2</v>
      </c>
      <c r="K17">
        <f>SECOND(Table9[[#This Row],[CreationTime]])</f>
        <v>41</v>
      </c>
      <c r="L17" s="9">
        <f>TIME(Table9[[#This Row],[Hour]],Table9[[#This Row],[Minute]],Table9[[#This Row],[Seconds]])</f>
        <v>0.58519675925925929</v>
      </c>
      <c r="M17" s="1">
        <f>EOMONTH(Table9[[#This Row],[Date]],0)</f>
        <v>45443</v>
      </c>
      <c r="N17" s="1">
        <f>EDATE(Table9[[#This Row],[Date]],1)</f>
        <v>45444</v>
      </c>
      <c r="O17">
        <f>NETWORKDAYS(Table9[[#This Row],[Date]],Table9[[#This Row],[EOMonth]])</f>
        <v>23</v>
      </c>
      <c r="P17" s="1">
        <f>WORKDAY(Table9[[#This Row],[Date]],Table9[[#This Row],[Network Days]]-1)</f>
        <v>45443</v>
      </c>
      <c r="Q17">
        <f>_xlfn.DAYS(Table9[[#This Row],[EOMonth]],Table9[[#This Row],[Date]])</f>
        <v>30</v>
      </c>
      <c r="R17" s="11">
        <f ca="1">YEARFRAC(Table9[[#This Row],[Date]],$V$2,3)</f>
        <v>2.1452054794520548</v>
      </c>
    </row>
    <row r="18" spans="1:18" x14ac:dyDescent="0.3">
      <c r="A18" s="6">
        <v>45418.649270833332</v>
      </c>
      <c r="B18">
        <f t="shared" si="0"/>
        <v>5</v>
      </c>
      <c r="C18" t="str">
        <f t="shared" si="1"/>
        <v>May</v>
      </c>
      <c r="D18">
        <f t="shared" si="2"/>
        <v>6</v>
      </c>
      <c r="E18" t="str">
        <f t="shared" si="3"/>
        <v>Mon</v>
      </c>
      <c r="F18">
        <f>WEEKDAY(Table9[[#This Row],[CreationTime]],2)</f>
        <v>1</v>
      </c>
      <c r="G18">
        <f>YEAR(Table9[[#This Row],[CreationTime]])</f>
        <v>2024</v>
      </c>
      <c r="H18" s="1">
        <f>DATE(Table9[[#This Row],[Year]],Table9[[#This Row],[Month]],Table9[[#This Row],[Day]])</f>
        <v>45418</v>
      </c>
      <c r="I18">
        <f>HOUR(Table9[[#This Row],[CreationTime]])</f>
        <v>15</v>
      </c>
      <c r="J18">
        <f>MINUTE(Table9[[#This Row],[CreationTime]])</f>
        <v>34</v>
      </c>
      <c r="K18">
        <f>SECOND(Table9[[#This Row],[CreationTime]])</f>
        <v>57</v>
      </c>
      <c r="L18" s="9">
        <f>TIME(Table9[[#This Row],[Hour]],Table9[[#This Row],[Minute]],Table9[[#This Row],[Seconds]])</f>
        <v>0.64927083333333335</v>
      </c>
      <c r="M18" s="1">
        <f>EOMONTH(Table9[[#This Row],[Date]],0)</f>
        <v>45443</v>
      </c>
      <c r="N18" s="1">
        <f>EDATE(Table9[[#This Row],[Date]],1)</f>
        <v>45449</v>
      </c>
      <c r="O18">
        <f>NETWORKDAYS(Table9[[#This Row],[Date]],Table9[[#This Row],[EOMonth]])</f>
        <v>20</v>
      </c>
      <c r="P18" s="1">
        <f>WORKDAY(Table9[[#This Row],[Date]],Table9[[#This Row],[Network Days]]-1)</f>
        <v>45443</v>
      </c>
      <c r="Q18">
        <f>_xlfn.DAYS(Table9[[#This Row],[EOMonth]],Table9[[#This Row],[Date]])</f>
        <v>25</v>
      </c>
      <c r="R18" s="11">
        <f ca="1">YEARFRAC(Table9[[#This Row],[Date]],$V$2,3)</f>
        <v>2.1315068493150684</v>
      </c>
    </row>
    <row r="19" spans="1:18" x14ac:dyDescent="0.3">
      <c r="A19" s="4">
        <v>45419.557002314818</v>
      </c>
      <c r="B19">
        <f t="shared" si="0"/>
        <v>5</v>
      </c>
      <c r="C19" t="str">
        <f t="shared" si="1"/>
        <v>May</v>
      </c>
      <c r="D19">
        <f t="shared" si="2"/>
        <v>7</v>
      </c>
      <c r="E19" t="str">
        <f t="shared" si="3"/>
        <v>Tue</v>
      </c>
      <c r="F19">
        <f>WEEKDAY(Table9[[#This Row],[CreationTime]],2)</f>
        <v>2</v>
      </c>
      <c r="G19">
        <f>YEAR(Table9[[#This Row],[CreationTime]])</f>
        <v>2024</v>
      </c>
      <c r="H19" s="1">
        <f>DATE(Table9[[#This Row],[Year]],Table9[[#This Row],[Month]],Table9[[#This Row],[Day]])</f>
        <v>45419</v>
      </c>
      <c r="I19">
        <f>HOUR(Table9[[#This Row],[CreationTime]])</f>
        <v>13</v>
      </c>
      <c r="J19">
        <f>MINUTE(Table9[[#This Row],[CreationTime]])</f>
        <v>22</v>
      </c>
      <c r="K19">
        <f>SECOND(Table9[[#This Row],[CreationTime]])</f>
        <v>5</v>
      </c>
      <c r="L19" s="9">
        <f>TIME(Table9[[#This Row],[Hour]],Table9[[#This Row],[Minute]],Table9[[#This Row],[Seconds]])</f>
        <v>0.55700231481481477</v>
      </c>
      <c r="M19" s="1">
        <f>EOMONTH(Table9[[#This Row],[Date]],0)</f>
        <v>45443</v>
      </c>
      <c r="N19" s="1">
        <f>EDATE(Table9[[#This Row],[Date]],1)</f>
        <v>45450</v>
      </c>
      <c r="O19">
        <f>NETWORKDAYS(Table9[[#This Row],[Date]],Table9[[#This Row],[EOMonth]])</f>
        <v>19</v>
      </c>
      <c r="P19" s="1">
        <f>WORKDAY(Table9[[#This Row],[Date]],Table9[[#This Row],[Network Days]]-1)</f>
        <v>45443</v>
      </c>
      <c r="Q19">
        <f>_xlfn.DAYS(Table9[[#This Row],[EOMonth]],Table9[[#This Row],[Date]])</f>
        <v>24</v>
      </c>
      <c r="R19" s="11">
        <f ca="1">YEARFRAC(Table9[[#This Row],[Date]],$V$2,3)</f>
        <v>2.128767123287671</v>
      </c>
    </row>
    <row r="20" spans="1:18" x14ac:dyDescent="0.3">
      <c r="A20" s="6">
        <v>45424.858969907407</v>
      </c>
      <c r="B20">
        <f t="shared" si="0"/>
        <v>5</v>
      </c>
      <c r="C20" t="str">
        <f t="shared" si="1"/>
        <v>May</v>
      </c>
      <c r="D20">
        <f t="shared" si="2"/>
        <v>12</v>
      </c>
      <c r="E20" t="str">
        <f t="shared" si="3"/>
        <v>Sun</v>
      </c>
      <c r="F20">
        <f>WEEKDAY(Table9[[#This Row],[CreationTime]],2)</f>
        <v>7</v>
      </c>
      <c r="G20">
        <f>YEAR(Table9[[#This Row],[CreationTime]])</f>
        <v>2024</v>
      </c>
      <c r="H20" s="1">
        <f>DATE(Table9[[#This Row],[Year]],Table9[[#This Row],[Month]],Table9[[#This Row],[Day]])</f>
        <v>45424</v>
      </c>
      <c r="I20">
        <f>HOUR(Table9[[#This Row],[CreationTime]])</f>
        <v>20</v>
      </c>
      <c r="J20">
        <f>MINUTE(Table9[[#This Row],[CreationTime]])</f>
        <v>36</v>
      </c>
      <c r="K20">
        <f>SECOND(Table9[[#This Row],[CreationTime]])</f>
        <v>55</v>
      </c>
      <c r="L20" s="9">
        <f>TIME(Table9[[#This Row],[Hour]],Table9[[#This Row],[Minute]],Table9[[#This Row],[Seconds]])</f>
        <v>0.85896990740740742</v>
      </c>
      <c r="M20" s="1">
        <f>EOMONTH(Table9[[#This Row],[Date]],0)</f>
        <v>45443</v>
      </c>
      <c r="N20" s="1">
        <f>EDATE(Table9[[#This Row],[Date]],1)</f>
        <v>45455</v>
      </c>
      <c r="O20">
        <f>NETWORKDAYS(Table9[[#This Row],[Date]],Table9[[#This Row],[EOMonth]])</f>
        <v>15</v>
      </c>
      <c r="P20" s="1">
        <f>WORKDAY(Table9[[#This Row],[Date]],Table9[[#This Row],[Network Days]]-1)</f>
        <v>45442</v>
      </c>
      <c r="Q20">
        <f>_xlfn.DAYS(Table9[[#This Row],[EOMonth]],Table9[[#This Row],[Date]])</f>
        <v>19</v>
      </c>
      <c r="R20" s="11">
        <f ca="1">YEARFRAC(Table9[[#This Row],[Date]],$V$2,3)</f>
        <v>2.1150684931506851</v>
      </c>
    </row>
    <row r="21" spans="1:18" x14ac:dyDescent="0.3">
      <c r="A21" s="3">
        <v>45459.975868055553</v>
      </c>
      <c r="B21">
        <f t="shared" si="0"/>
        <v>6</v>
      </c>
      <c r="C21" t="str">
        <f t="shared" si="1"/>
        <v>Jun</v>
      </c>
      <c r="D21">
        <f t="shared" si="2"/>
        <v>16</v>
      </c>
      <c r="E21" t="str">
        <f t="shared" si="3"/>
        <v>Sun</v>
      </c>
      <c r="F21">
        <f>WEEKDAY(Table9[[#This Row],[CreationTime]],2)</f>
        <v>7</v>
      </c>
      <c r="G21">
        <f>YEAR(Table9[[#This Row],[CreationTime]])</f>
        <v>2024</v>
      </c>
      <c r="H21" s="1">
        <f>DATE(Table9[[#This Row],[Year]],Table9[[#This Row],[Month]],Table9[[#This Row],[Day]])</f>
        <v>45459</v>
      </c>
      <c r="I21">
        <f>HOUR(Table9[[#This Row],[CreationTime]])</f>
        <v>23</v>
      </c>
      <c r="J21">
        <f>MINUTE(Table9[[#This Row],[CreationTime]])</f>
        <v>25</v>
      </c>
      <c r="K21">
        <f>SECOND(Table9[[#This Row],[CreationTime]])</f>
        <v>15</v>
      </c>
      <c r="L21" s="9">
        <f>TIME(Table9[[#This Row],[Hour]],Table9[[#This Row],[Minute]],Table9[[#This Row],[Seconds]])</f>
        <v>0.97586805555555556</v>
      </c>
      <c r="M21" s="1">
        <f>EOMONTH(Table9[[#This Row],[Date]],0)</f>
        <v>45473</v>
      </c>
      <c r="N21" s="1">
        <f>EDATE(Table9[[#This Row],[Date]],1)</f>
        <v>45489</v>
      </c>
      <c r="O21">
        <f>NETWORKDAYS(Table9[[#This Row],[Date]],Table9[[#This Row],[EOMonth]])</f>
        <v>10</v>
      </c>
      <c r="P21" s="1">
        <f>WORKDAY(Table9[[#This Row],[Date]],Table9[[#This Row],[Network Days]]-1)</f>
        <v>45470</v>
      </c>
      <c r="Q21">
        <f>_xlfn.DAYS(Table9[[#This Row],[EOMonth]],Table9[[#This Row],[Date]])</f>
        <v>14</v>
      </c>
      <c r="R21" s="11">
        <f ca="1">YEARFRAC(Table9[[#This Row],[Date]],$V$2,3)</f>
        <v>2.0191780821917806</v>
      </c>
    </row>
    <row r="25" spans="1:18" ht="15.6" x14ac:dyDescent="0.3">
      <c r="A25" s="15" t="s">
        <v>129</v>
      </c>
      <c r="B25" s="15"/>
      <c r="C25" s="15"/>
      <c r="D25" s="15"/>
      <c r="E25" s="15"/>
      <c r="F25" s="15"/>
      <c r="G25" s="15"/>
      <c r="H25" s="15"/>
      <c r="I25" s="15"/>
      <c r="J25" s="15"/>
      <c r="K25" s="15"/>
      <c r="L25" s="15"/>
      <c r="M25" s="15"/>
      <c r="N25" s="15"/>
      <c r="O25" s="15"/>
      <c r="P25" s="15"/>
      <c r="Q25" s="15"/>
    </row>
    <row r="26" spans="1:18" ht="15.6" x14ac:dyDescent="0.3">
      <c r="A26" s="15" t="s">
        <v>130</v>
      </c>
      <c r="B26" s="15"/>
      <c r="C26" s="15"/>
      <c r="D26" s="15"/>
      <c r="E26" s="15"/>
      <c r="F26" s="15"/>
      <c r="G26" s="15"/>
      <c r="H26" s="15"/>
      <c r="I26" s="15"/>
      <c r="J26" s="15"/>
      <c r="K26" s="15"/>
      <c r="L26" s="15"/>
      <c r="M26" s="15"/>
      <c r="N26" s="15"/>
      <c r="O26" s="15"/>
      <c r="P26" s="15"/>
      <c r="Q26" s="15"/>
    </row>
    <row r="27" spans="1:18" ht="15.6" x14ac:dyDescent="0.3">
      <c r="A27" s="15" t="s">
        <v>132</v>
      </c>
      <c r="B27" s="15"/>
      <c r="C27" s="15"/>
      <c r="D27" s="15"/>
      <c r="E27" s="15"/>
      <c r="F27" s="15"/>
      <c r="G27" s="15"/>
      <c r="H27" s="15"/>
      <c r="I27" s="15"/>
      <c r="J27" s="15"/>
      <c r="K27" s="15"/>
      <c r="L27" s="15"/>
      <c r="M27" s="15"/>
      <c r="N27" s="15"/>
      <c r="O27" s="15"/>
      <c r="P27" s="15"/>
      <c r="Q27" s="15"/>
    </row>
    <row r="28" spans="1:18" ht="15.6" x14ac:dyDescent="0.3">
      <c r="A28" s="15" t="s">
        <v>131</v>
      </c>
      <c r="B28" s="15"/>
      <c r="C28" s="15"/>
      <c r="D28" s="15"/>
      <c r="E28" s="15"/>
      <c r="F28" s="15"/>
      <c r="G28" s="15"/>
      <c r="H28" s="15"/>
      <c r="I28" s="15"/>
      <c r="J28" s="15"/>
      <c r="K28" s="15"/>
      <c r="L28" s="15"/>
      <c r="M28" s="15"/>
      <c r="N28" s="15"/>
      <c r="O28" s="15"/>
      <c r="P28" s="15"/>
      <c r="Q28" s="15"/>
    </row>
    <row r="29" spans="1:18" x14ac:dyDescent="0.3">
      <c r="A29" s="16"/>
      <c r="B29" s="16"/>
      <c r="C29" s="16"/>
      <c r="D29" s="16"/>
      <c r="E29" s="16"/>
      <c r="F29" s="16"/>
      <c r="G29" s="16"/>
      <c r="H29" s="16"/>
      <c r="I29" s="16"/>
      <c r="J29" s="16"/>
      <c r="K29" s="16"/>
      <c r="L29" s="16"/>
      <c r="M29" s="16"/>
      <c r="N29" s="16"/>
      <c r="O29" s="16"/>
      <c r="P29" s="16"/>
      <c r="Q29" s="16"/>
    </row>
    <row r="30" spans="1:18" x14ac:dyDescent="0.3">
      <c r="A30" s="16"/>
      <c r="B30" s="16"/>
      <c r="C30" s="16"/>
      <c r="D30" s="16"/>
      <c r="E30" s="16"/>
      <c r="F30" s="16"/>
      <c r="G30" s="16"/>
      <c r="H30" s="16"/>
      <c r="I30" s="16"/>
      <c r="J30" s="16"/>
      <c r="K30" s="16"/>
      <c r="L30" s="16"/>
      <c r="M30" s="16"/>
      <c r="N30" s="16"/>
      <c r="O30" s="16"/>
      <c r="P30" s="16"/>
      <c r="Q30" s="16"/>
    </row>
    <row r="31" spans="1:18" x14ac:dyDescent="0.3">
      <c r="A31" s="16"/>
      <c r="B31" s="16"/>
      <c r="C31" s="16"/>
      <c r="D31" s="16"/>
      <c r="E31" s="16"/>
      <c r="F31" s="16"/>
      <c r="G31" s="16"/>
      <c r="H31" s="16"/>
      <c r="I31" s="16"/>
      <c r="J31" s="16"/>
      <c r="K31" s="16"/>
      <c r="L31" s="16"/>
      <c r="M31" s="16"/>
      <c r="N31" s="16"/>
      <c r="O31" s="16"/>
      <c r="P31" s="16"/>
      <c r="Q31" s="16"/>
    </row>
    <row r="32" spans="1:18" x14ac:dyDescent="0.3">
      <c r="A32" s="16"/>
      <c r="B32" s="16"/>
      <c r="C32" s="16"/>
      <c r="D32" s="16"/>
      <c r="E32" s="16"/>
      <c r="F32" s="16"/>
      <c r="G32" s="16"/>
      <c r="H32" s="16"/>
      <c r="I32" s="16"/>
      <c r="J32" s="16"/>
      <c r="K32" s="16"/>
      <c r="L32" s="16"/>
      <c r="M32" s="16"/>
      <c r="N32" s="16"/>
      <c r="O32" s="16"/>
      <c r="P32" s="16"/>
      <c r="Q32" s="16"/>
    </row>
    <row r="33" spans="1:17" x14ac:dyDescent="0.3">
      <c r="A33" s="16"/>
      <c r="B33" s="16"/>
      <c r="C33" s="16"/>
      <c r="D33" s="16"/>
      <c r="E33" s="16"/>
      <c r="F33" s="16"/>
      <c r="G33" s="16"/>
      <c r="H33" s="16"/>
      <c r="I33" s="16"/>
      <c r="J33" s="16"/>
      <c r="K33" s="16"/>
      <c r="L33" s="16"/>
      <c r="M33" s="16"/>
      <c r="N33" s="16"/>
      <c r="O33" s="16"/>
      <c r="P33" s="16"/>
      <c r="Q33" s="16"/>
    </row>
    <row r="34" spans="1:17" x14ac:dyDescent="0.3">
      <c r="A34" s="16"/>
      <c r="B34" s="16"/>
      <c r="C34" s="16"/>
      <c r="D34" s="16"/>
      <c r="E34" s="16"/>
      <c r="F34" s="16"/>
      <c r="G34" s="16"/>
      <c r="H34" s="16"/>
      <c r="I34" s="16"/>
      <c r="J34" s="16"/>
      <c r="K34" s="16"/>
      <c r="L34" s="16"/>
      <c r="M34" s="16"/>
      <c r="N34" s="16"/>
      <c r="O34" s="16"/>
      <c r="P34" s="16"/>
      <c r="Q34" s="16"/>
    </row>
  </sheetData>
  <mergeCells count="10">
    <mergeCell ref="A31:Q31"/>
    <mergeCell ref="A32:Q32"/>
    <mergeCell ref="A33:Q33"/>
    <mergeCell ref="A34:Q34"/>
    <mergeCell ref="A25:Q25"/>
    <mergeCell ref="A26:Q26"/>
    <mergeCell ref="A27:Q27"/>
    <mergeCell ref="A28:Q28"/>
    <mergeCell ref="A29:Q29"/>
    <mergeCell ref="A30:Q30"/>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4DEC-7A87-4BEE-ADD6-9F65D367C3CA}">
  <sheetPr>
    <tabColor theme="8" tint="0.39997558519241921"/>
  </sheetPr>
  <dimension ref="A1:D6"/>
  <sheetViews>
    <sheetView showGridLines="0" workbookViewId="0"/>
  </sheetViews>
  <sheetFormatPr defaultRowHeight="14.4" x14ac:dyDescent="0.3"/>
  <cols>
    <col min="1" max="1" width="11.5546875" bestFit="1" customWidth="1"/>
    <col min="2" max="2" width="9.77734375" bestFit="1" customWidth="1"/>
    <col min="3" max="3" width="10.88671875" bestFit="1" customWidth="1"/>
    <col min="4" max="4" width="7.5546875" bestFit="1" customWidth="1"/>
  </cols>
  <sheetData>
    <row r="1" spans="1:4" x14ac:dyDescent="0.3">
      <c r="A1" t="s">
        <v>34</v>
      </c>
      <c r="B1" t="s">
        <v>66</v>
      </c>
      <c r="C1" t="s">
        <v>67</v>
      </c>
      <c r="D1" t="s">
        <v>68</v>
      </c>
    </row>
    <row r="2" spans="1:4" x14ac:dyDescent="0.3">
      <c r="A2">
        <v>101</v>
      </c>
      <c r="B2" t="s">
        <v>69</v>
      </c>
      <c r="C2" t="s">
        <v>70</v>
      </c>
      <c r="D2">
        <v>10</v>
      </c>
    </row>
    <row r="3" spans="1:4" x14ac:dyDescent="0.3">
      <c r="A3">
        <v>102</v>
      </c>
      <c r="B3" t="s">
        <v>71</v>
      </c>
      <c r="C3" t="s">
        <v>70</v>
      </c>
      <c r="D3">
        <v>15</v>
      </c>
    </row>
    <row r="4" spans="1:4" x14ac:dyDescent="0.3">
      <c r="A4">
        <v>103</v>
      </c>
      <c r="B4" t="s">
        <v>72</v>
      </c>
      <c r="C4" t="s">
        <v>73</v>
      </c>
      <c r="D4">
        <v>20</v>
      </c>
    </row>
    <row r="5" spans="1:4" x14ac:dyDescent="0.3">
      <c r="A5">
        <v>104</v>
      </c>
      <c r="B5" t="s">
        <v>74</v>
      </c>
      <c r="C5" t="s">
        <v>73</v>
      </c>
      <c r="D5">
        <v>25</v>
      </c>
    </row>
    <row r="6" spans="1:4" x14ac:dyDescent="0.3">
      <c r="A6">
        <v>105</v>
      </c>
      <c r="B6" t="s">
        <v>75</v>
      </c>
      <c r="C6" t="s">
        <v>73</v>
      </c>
      <c r="D6">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B41BB-C49F-4A72-B549-1DDF2D8AE528}">
  <dimension ref="A1:L11"/>
  <sheetViews>
    <sheetView workbookViewId="0"/>
  </sheetViews>
  <sheetFormatPr defaultRowHeight="14.4" x14ac:dyDescent="0.3"/>
  <cols>
    <col min="1" max="1" width="9.77734375" bestFit="1" customWidth="1"/>
    <col min="2" max="2" width="11.5546875" bestFit="1" customWidth="1"/>
    <col min="3" max="3" width="13.109375" bestFit="1" customWidth="1"/>
    <col min="4" max="4" width="15.33203125" bestFit="1" customWidth="1"/>
    <col min="5" max="5" width="11.88671875" bestFit="1" customWidth="1"/>
    <col min="6" max="6" width="10.88671875" bestFit="1" customWidth="1"/>
    <col min="7" max="7" width="13.33203125" bestFit="1" customWidth="1"/>
    <col min="8" max="8" width="15.21875" bestFit="1" customWidth="1"/>
    <col min="9" max="9" width="12.77734375" bestFit="1" customWidth="1"/>
    <col min="10" max="10" width="10.33203125" bestFit="1" customWidth="1"/>
    <col min="11" max="11" width="7.77734375" bestFit="1" customWidth="1"/>
    <col min="12" max="12" width="14.44140625" bestFit="1" customWidth="1"/>
  </cols>
  <sheetData>
    <row r="1" spans="1:12" x14ac:dyDescent="0.3">
      <c r="A1" t="s">
        <v>33</v>
      </c>
      <c r="B1" t="s">
        <v>34</v>
      </c>
      <c r="C1" t="s">
        <v>0</v>
      </c>
      <c r="D1" t="s">
        <v>35</v>
      </c>
      <c r="E1" t="s">
        <v>36</v>
      </c>
      <c r="F1" t="s">
        <v>37</v>
      </c>
      <c r="G1" t="s">
        <v>38</v>
      </c>
      <c r="H1" t="s">
        <v>39</v>
      </c>
      <c r="I1" t="s">
        <v>40</v>
      </c>
      <c r="J1" t="s">
        <v>41</v>
      </c>
      <c r="K1" t="s">
        <v>27</v>
      </c>
      <c r="L1" t="s">
        <v>42</v>
      </c>
    </row>
    <row r="2" spans="1:12" x14ac:dyDescent="0.3">
      <c r="A2">
        <v>1</v>
      </c>
      <c r="B2">
        <v>101</v>
      </c>
      <c r="C2">
        <v>2</v>
      </c>
      <c r="D2">
        <v>3</v>
      </c>
      <c r="E2" s="1">
        <v>45658</v>
      </c>
      <c r="F2" s="1">
        <v>45662</v>
      </c>
      <c r="G2" t="s">
        <v>43</v>
      </c>
      <c r="H2" t="s">
        <v>44</v>
      </c>
      <c r="I2" t="s">
        <v>45</v>
      </c>
      <c r="J2">
        <v>1</v>
      </c>
      <c r="K2">
        <v>10</v>
      </c>
      <c r="L2" s="2">
        <v>45658.524259259262</v>
      </c>
    </row>
    <row r="3" spans="1:12" x14ac:dyDescent="0.3">
      <c r="A3">
        <v>2</v>
      </c>
      <c r="B3">
        <v>102</v>
      </c>
      <c r="C3">
        <v>3</v>
      </c>
      <c r="D3">
        <v>3</v>
      </c>
      <c r="E3" s="1">
        <v>45662</v>
      </c>
      <c r="F3" s="1">
        <v>45667</v>
      </c>
      <c r="G3" t="s">
        <v>46</v>
      </c>
      <c r="H3" t="s">
        <v>47</v>
      </c>
      <c r="I3" t="s">
        <v>12</v>
      </c>
      <c r="J3">
        <v>1</v>
      </c>
      <c r="K3">
        <v>15</v>
      </c>
      <c r="L3" s="2">
        <v>45662.973657407405</v>
      </c>
    </row>
    <row r="4" spans="1:12" x14ac:dyDescent="0.3">
      <c r="A4">
        <v>3</v>
      </c>
      <c r="B4">
        <v>101</v>
      </c>
      <c r="C4">
        <v>1</v>
      </c>
      <c r="D4">
        <v>5</v>
      </c>
      <c r="E4" s="1">
        <v>45667</v>
      </c>
      <c r="F4" s="1">
        <v>45682</v>
      </c>
      <c r="G4" t="s">
        <v>43</v>
      </c>
      <c r="H4" t="s">
        <v>48</v>
      </c>
      <c r="I4" t="s">
        <v>48</v>
      </c>
      <c r="J4">
        <v>2</v>
      </c>
      <c r="K4">
        <v>20</v>
      </c>
      <c r="L4" s="2">
        <v>45667.766759259262</v>
      </c>
    </row>
    <row r="5" spans="1:12" x14ac:dyDescent="0.3">
      <c r="A5">
        <v>4</v>
      </c>
      <c r="B5">
        <v>105</v>
      </c>
      <c r="C5">
        <v>1</v>
      </c>
      <c r="D5">
        <v>3</v>
      </c>
      <c r="E5" s="1">
        <v>45677</v>
      </c>
      <c r="F5" s="1">
        <v>45682</v>
      </c>
      <c r="G5" t="s">
        <v>46</v>
      </c>
      <c r="H5" t="s">
        <v>49</v>
      </c>
      <c r="I5" t="s">
        <v>12</v>
      </c>
      <c r="J5">
        <v>2</v>
      </c>
      <c r="K5">
        <v>60</v>
      </c>
      <c r="L5" s="2">
        <v>45677.243437500001</v>
      </c>
    </row>
    <row r="6" spans="1:12" x14ac:dyDescent="0.3">
      <c r="A6">
        <v>5</v>
      </c>
      <c r="B6">
        <v>104</v>
      </c>
      <c r="C6">
        <v>2</v>
      </c>
      <c r="D6">
        <v>5</v>
      </c>
      <c r="E6" s="1">
        <v>45689</v>
      </c>
      <c r="F6" s="1">
        <v>45693</v>
      </c>
      <c r="G6" t="s">
        <v>43</v>
      </c>
      <c r="H6" t="s">
        <v>12</v>
      </c>
      <c r="I6" t="s">
        <v>12</v>
      </c>
      <c r="J6">
        <v>1</v>
      </c>
      <c r="K6">
        <v>25</v>
      </c>
      <c r="L6" s="2">
        <v>45689.585196759261</v>
      </c>
    </row>
    <row r="7" spans="1:12" x14ac:dyDescent="0.3">
      <c r="A7">
        <v>6</v>
      </c>
      <c r="B7">
        <v>104</v>
      </c>
      <c r="C7">
        <v>3</v>
      </c>
      <c r="D7">
        <v>5</v>
      </c>
      <c r="E7" s="1">
        <v>45693</v>
      </c>
      <c r="F7" s="1">
        <v>45698</v>
      </c>
      <c r="G7" t="s">
        <v>43</v>
      </c>
      <c r="H7" t="s">
        <v>50</v>
      </c>
      <c r="I7" t="s">
        <v>12</v>
      </c>
      <c r="J7">
        <v>2</v>
      </c>
      <c r="K7">
        <v>50</v>
      </c>
      <c r="L7" s="2">
        <v>45694.649270833332</v>
      </c>
    </row>
    <row r="8" spans="1:12" x14ac:dyDescent="0.3">
      <c r="A8">
        <v>7</v>
      </c>
      <c r="B8">
        <v>102</v>
      </c>
      <c r="C8">
        <v>1</v>
      </c>
      <c r="D8">
        <v>1</v>
      </c>
      <c r="E8" s="1">
        <v>45703</v>
      </c>
      <c r="F8" s="1">
        <v>45715</v>
      </c>
      <c r="G8" t="s">
        <v>43</v>
      </c>
      <c r="H8" t="s">
        <v>51</v>
      </c>
      <c r="I8" t="s">
        <v>12</v>
      </c>
      <c r="J8">
        <v>2</v>
      </c>
      <c r="K8">
        <v>30</v>
      </c>
      <c r="L8" s="2">
        <v>45704.265289351853</v>
      </c>
    </row>
    <row r="9" spans="1:12" x14ac:dyDescent="0.3">
      <c r="A9">
        <v>8</v>
      </c>
      <c r="B9">
        <v>101</v>
      </c>
      <c r="C9">
        <v>4</v>
      </c>
      <c r="D9">
        <v>3</v>
      </c>
      <c r="E9" s="1">
        <v>45706</v>
      </c>
      <c r="F9" s="1">
        <v>45715</v>
      </c>
      <c r="G9" t="s">
        <v>46</v>
      </c>
      <c r="H9" t="s">
        <v>52</v>
      </c>
      <c r="I9" t="s">
        <v>53</v>
      </c>
      <c r="J9">
        <v>3</v>
      </c>
      <c r="K9">
        <v>90</v>
      </c>
      <c r="L9" s="2">
        <v>45706.448171296295</v>
      </c>
    </row>
    <row r="10" spans="1:12" x14ac:dyDescent="0.3">
      <c r="A10">
        <v>9</v>
      </c>
      <c r="B10">
        <v>101</v>
      </c>
      <c r="C10">
        <v>2</v>
      </c>
      <c r="D10">
        <v>3</v>
      </c>
      <c r="E10" s="1">
        <v>45726</v>
      </c>
      <c r="F10" s="1">
        <v>45731</v>
      </c>
      <c r="G10" t="s">
        <v>46</v>
      </c>
      <c r="H10" t="s">
        <v>54</v>
      </c>
      <c r="I10" t="s">
        <v>12</v>
      </c>
      <c r="J10">
        <v>2</v>
      </c>
      <c r="K10">
        <v>20</v>
      </c>
      <c r="L10" s="2">
        <v>45726.541018518517</v>
      </c>
    </row>
    <row r="11" spans="1:12" x14ac:dyDescent="0.3">
      <c r="A11">
        <v>10</v>
      </c>
      <c r="B11">
        <v>102</v>
      </c>
      <c r="C11">
        <v>3</v>
      </c>
      <c r="D11">
        <v>5</v>
      </c>
      <c r="E11" s="1">
        <v>45731</v>
      </c>
      <c r="F11" s="1">
        <v>45736</v>
      </c>
      <c r="G11" t="s">
        <v>46</v>
      </c>
      <c r="H11" t="s">
        <v>12</v>
      </c>
      <c r="I11" t="s">
        <v>12</v>
      </c>
      <c r="J11">
        <v>0</v>
      </c>
      <c r="K11">
        <v>60</v>
      </c>
      <c r="L11" s="2">
        <v>45732.975868055553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1231-1240-4576-B3ED-ADE25A580DE0}">
  <dimension ref="A1:L11"/>
  <sheetViews>
    <sheetView workbookViewId="0"/>
  </sheetViews>
  <sheetFormatPr defaultRowHeight="14.4" x14ac:dyDescent="0.3"/>
  <cols>
    <col min="1" max="1" width="9.77734375" bestFit="1" customWidth="1"/>
    <col min="2" max="2" width="11.5546875" bestFit="1" customWidth="1"/>
    <col min="3" max="3" width="13.109375" bestFit="1" customWidth="1"/>
    <col min="4" max="4" width="15.33203125" bestFit="1" customWidth="1"/>
    <col min="5" max="5" width="11.88671875" bestFit="1" customWidth="1"/>
    <col min="6" max="6" width="10.88671875" bestFit="1" customWidth="1"/>
    <col min="7" max="7" width="13.33203125" bestFit="1" customWidth="1"/>
    <col min="8" max="8" width="14.21875" bestFit="1" customWidth="1"/>
    <col min="9" max="9" width="13.109375" bestFit="1" customWidth="1"/>
    <col min="10" max="10" width="10.33203125" bestFit="1" customWidth="1"/>
    <col min="11" max="11" width="7.77734375" bestFit="1" customWidth="1"/>
    <col min="12" max="12" width="14.44140625" bestFit="1" customWidth="1"/>
  </cols>
  <sheetData>
    <row r="1" spans="1:12" x14ac:dyDescent="0.3">
      <c r="A1" t="s">
        <v>33</v>
      </c>
      <c r="B1" t="s">
        <v>34</v>
      </c>
      <c r="C1" t="s">
        <v>0</v>
      </c>
      <c r="D1" t="s">
        <v>35</v>
      </c>
      <c r="E1" t="s">
        <v>36</v>
      </c>
      <c r="F1" t="s">
        <v>37</v>
      </c>
      <c r="G1" t="s">
        <v>38</v>
      </c>
      <c r="H1" t="s">
        <v>39</v>
      </c>
      <c r="I1" t="s">
        <v>40</v>
      </c>
      <c r="J1" t="s">
        <v>41</v>
      </c>
      <c r="K1" t="s">
        <v>27</v>
      </c>
      <c r="L1" t="s">
        <v>42</v>
      </c>
    </row>
    <row r="2" spans="1:12" x14ac:dyDescent="0.3">
      <c r="A2">
        <v>1</v>
      </c>
      <c r="B2">
        <v>101</v>
      </c>
      <c r="C2">
        <v>2</v>
      </c>
      <c r="D2">
        <v>3</v>
      </c>
      <c r="E2" s="1">
        <v>45383</v>
      </c>
      <c r="F2" s="1">
        <v>45387</v>
      </c>
      <c r="G2" t="s">
        <v>46</v>
      </c>
      <c r="H2" t="s">
        <v>55</v>
      </c>
      <c r="I2" t="s">
        <v>56</v>
      </c>
      <c r="J2">
        <v>1</v>
      </c>
      <c r="K2">
        <v>10</v>
      </c>
      <c r="L2" s="2">
        <v>45383.524259259262</v>
      </c>
    </row>
    <row r="3" spans="1:12" x14ac:dyDescent="0.3">
      <c r="A3">
        <v>2</v>
      </c>
      <c r="B3">
        <v>102</v>
      </c>
      <c r="C3">
        <v>3</v>
      </c>
      <c r="D3">
        <v>3</v>
      </c>
      <c r="E3" s="1">
        <v>45387</v>
      </c>
      <c r="F3" s="1">
        <v>45392</v>
      </c>
      <c r="G3" t="s">
        <v>46</v>
      </c>
      <c r="H3" t="s">
        <v>57</v>
      </c>
      <c r="I3" t="s">
        <v>58</v>
      </c>
      <c r="J3">
        <v>1</v>
      </c>
      <c r="K3">
        <v>15</v>
      </c>
      <c r="L3" s="2">
        <v>45387.973657407405</v>
      </c>
    </row>
    <row r="4" spans="1:12" x14ac:dyDescent="0.3">
      <c r="A4">
        <v>3</v>
      </c>
      <c r="B4">
        <v>101</v>
      </c>
      <c r="C4">
        <v>1</v>
      </c>
      <c r="D4">
        <v>4</v>
      </c>
      <c r="E4" s="1">
        <v>45392</v>
      </c>
      <c r="F4" s="1">
        <v>45407</v>
      </c>
      <c r="G4" t="s">
        <v>46</v>
      </c>
      <c r="H4" t="s">
        <v>59</v>
      </c>
      <c r="I4" t="s">
        <v>59</v>
      </c>
      <c r="J4">
        <v>2</v>
      </c>
      <c r="K4">
        <v>20</v>
      </c>
      <c r="L4" s="2">
        <v>45392.766759259262</v>
      </c>
    </row>
    <row r="5" spans="1:12" x14ac:dyDescent="0.3">
      <c r="A5">
        <v>4</v>
      </c>
      <c r="B5">
        <v>105</v>
      </c>
      <c r="C5">
        <v>1</v>
      </c>
      <c r="D5">
        <v>3</v>
      </c>
      <c r="E5" s="1">
        <v>45402</v>
      </c>
      <c r="F5" s="1">
        <v>45407</v>
      </c>
      <c r="G5" t="s">
        <v>46</v>
      </c>
      <c r="H5" t="s">
        <v>60</v>
      </c>
      <c r="I5" t="s">
        <v>12</v>
      </c>
      <c r="J5">
        <v>2</v>
      </c>
      <c r="K5">
        <v>60</v>
      </c>
      <c r="L5" s="2">
        <v>45402.243437500001</v>
      </c>
    </row>
    <row r="6" spans="1:12" x14ac:dyDescent="0.3">
      <c r="A6">
        <v>4</v>
      </c>
      <c r="B6">
        <v>105</v>
      </c>
      <c r="C6">
        <v>1</v>
      </c>
      <c r="D6">
        <v>3</v>
      </c>
      <c r="E6" s="1">
        <v>45402</v>
      </c>
      <c r="F6" s="1">
        <v>45407</v>
      </c>
      <c r="G6" t="s">
        <v>43</v>
      </c>
      <c r="H6" t="s">
        <v>60</v>
      </c>
      <c r="I6" t="s">
        <v>12</v>
      </c>
      <c r="J6">
        <v>2</v>
      </c>
      <c r="K6">
        <v>60</v>
      </c>
      <c r="L6" s="2">
        <v>45402.618437500001</v>
      </c>
    </row>
    <row r="7" spans="1:12" x14ac:dyDescent="0.3">
      <c r="A7">
        <v>5</v>
      </c>
      <c r="B7">
        <v>104</v>
      </c>
      <c r="C7">
        <v>2</v>
      </c>
      <c r="D7">
        <v>5</v>
      </c>
      <c r="E7" s="1">
        <v>45413</v>
      </c>
      <c r="F7" s="1">
        <v>45417</v>
      </c>
      <c r="G7" t="s">
        <v>46</v>
      </c>
      <c r="H7" t="s">
        <v>61</v>
      </c>
      <c r="I7" t="s">
        <v>62</v>
      </c>
      <c r="J7">
        <v>1</v>
      </c>
      <c r="K7">
        <v>25</v>
      </c>
      <c r="L7" s="2">
        <v>45413.585196759261</v>
      </c>
    </row>
    <row r="8" spans="1:12" x14ac:dyDescent="0.3">
      <c r="A8">
        <v>6</v>
      </c>
      <c r="B8">
        <v>104</v>
      </c>
      <c r="C8">
        <v>3</v>
      </c>
      <c r="D8">
        <v>5</v>
      </c>
      <c r="E8" s="1">
        <v>45417</v>
      </c>
      <c r="F8" s="1">
        <v>45422</v>
      </c>
      <c r="G8" t="s">
        <v>43</v>
      </c>
      <c r="H8" t="s">
        <v>63</v>
      </c>
      <c r="I8" t="s">
        <v>12</v>
      </c>
      <c r="J8">
        <v>2</v>
      </c>
      <c r="K8">
        <v>50</v>
      </c>
      <c r="L8" s="2">
        <v>45418.649270833332</v>
      </c>
    </row>
    <row r="9" spans="1:12" x14ac:dyDescent="0.3">
      <c r="A9">
        <v>6</v>
      </c>
      <c r="B9">
        <v>104</v>
      </c>
      <c r="C9">
        <v>3</v>
      </c>
      <c r="D9">
        <v>5</v>
      </c>
      <c r="E9" s="1">
        <v>45417</v>
      </c>
      <c r="F9" s="1">
        <v>45422</v>
      </c>
      <c r="G9" t="s">
        <v>43</v>
      </c>
      <c r="H9" t="s">
        <v>63</v>
      </c>
      <c r="I9" t="s">
        <v>54</v>
      </c>
      <c r="J9">
        <v>2</v>
      </c>
      <c r="K9">
        <v>50</v>
      </c>
      <c r="L9" s="2">
        <v>45419.557002314818</v>
      </c>
    </row>
    <row r="10" spans="1:12" x14ac:dyDescent="0.3">
      <c r="A10">
        <v>6</v>
      </c>
      <c r="B10">
        <v>101</v>
      </c>
      <c r="C10">
        <v>3</v>
      </c>
      <c r="D10">
        <v>5</v>
      </c>
      <c r="E10" s="1">
        <v>45417</v>
      </c>
      <c r="F10" s="1">
        <v>45422</v>
      </c>
      <c r="G10" t="s">
        <v>43</v>
      </c>
      <c r="H10" t="s">
        <v>63</v>
      </c>
      <c r="I10" t="s">
        <v>54</v>
      </c>
      <c r="J10">
        <v>2</v>
      </c>
      <c r="K10">
        <v>50</v>
      </c>
      <c r="L10" s="2">
        <v>45424.858969907407</v>
      </c>
    </row>
    <row r="11" spans="1:12" x14ac:dyDescent="0.3">
      <c r="A11">
        <v>7</v>
      </c>
      <c r="B11">
        <v>102</v>
      </c>
      <c r="C11">
        <v>3</v>
      </c>
      <c r="D11">
        <v>5</v>
      </c>
      <c r="E11" s="1">
        <v>45458</v>
      </c>
      <c r="F11" s="1">
        <v>45463</v>
      </c>
      <c r="G11" t="s">
        <v>46</v>
      </c>
      <c r="H11" t="s">
        <v>64</v>
      </c>
      <c r="I11" t="s">
        <v>65</v>
      </c>
      <c r="J11">
        <v>0</v>
      </c>
      <c r="K11">
        <v>60</v>
      </c>
      <c r="L11" s="2">
        <v>45459.975868055553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081738-DBC9-4633-915C-39C588E2A7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Employees</vt:lpstr>
      <vt:lpstr>Orders_combined</vt:lpstr>
      <vt:lpstr>Pivot Tables</vt:lpstr>
      <vt:lpstr>Dashboard</vt:lpstr>
      <vt:lpstr>Date2</vt:lpstr>
      <vt:lpstr>Products</vt:lpstr>
      <vt:lpstr>Orders</vt:lpstr>
      <vt:lpstr>OrdersArchive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Bhagyasri Yeramal</dc:creator>
  <cp:lastModifiedBy>Bhagyasri Yeramal</cp:lastModifiedBy>
  <dcterms:created xsi:type="dcterms:W3CDTF">2026-06-20T05:29:27Z</dcterms:created>
  <dcterms:modified xsi:type="dcterms:W3CDTF">2026-06-23T09:09:46Z</dcterms:modified>
</cp:coreProperties>
</file>